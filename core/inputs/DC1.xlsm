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135" yWindow="525" windowWidth="8325" windowHeight="8940" tabRatio="838" firstSheet="6" activeTab="25"/>
  </bookViews>
  <sheets>
    <sheet name="Assumptions" sheetId="80" r:id="rId1"/>
    <sheet name="M1" sheetId="11" r:id="rId2"/>
    <sheet name="CSA11" sheetId="9" r:id="rId3"/>
    <sheet name="SUT1R" sheetId="20" r:id="rId4"/>
    <sheet name="P11" sheetId="43" r:id="rId5"/>
    <sheet name="P110" sheetId="46" r:id="rId6"/>
    <sheet name="P111" sheetId="47" r:id="rId7"/>
    <sheet name="P12" sheetId="45" r:id="rId8"/>
    <sheet name="P13" sheetId="48" r:id="rId9"/>
    <sheet name="P15" sheetId="49" r:id="rId10"/>
    <sheet name="P16" sheetId="50" r:id="rId11"/>
    <sheet name="P17" sheetId="51" r:id="rId12"/>
    <sheet name="P18" sheetId="52" r:id="rId13"/>
    <sheet name="P19" sheetId="53" r:id="rId14"/>
    <sheet name="WP14" sheetId="54" r:id="rId15"/>
    <sheet name="W11" sheetId="55" r:id="rId16"/>
    <sheet name="W110" sheetId="56" r:id="rId17"/>
    <sheet name="W12A" sheetId="57" r:id="rId18"/>
    <sheet name="W13" sheetId="59" r:id="rId19"/>
    <sheet name="W14" sheetId="60" r:id="rId20"/>
    <sheet name="W15" sheetId="61" r:id="rId21"/>
    <sheet name="W16" sheetId="63" r:id="rId22"/>
    <sheet name="W17" sheetId="64" r:id="rId23"/>
    <sheet name="W18" sheetId="66" r:id="rId24"/>
    <sheet name="W19" sheetId="67" r:id="rId25"/>
    <sheet name="301" sheetId="8" r:id="rId26"/>
    <sheet name="302" sheetId="7" r:id="rId27"/>
    <sheet name="303" sheetId="5" r:id="rId28"/>
    <sheet name="304" sheetId="4" r:id="rId29"/>
    <sheet name="305" sheetId="12" r:id="rId30"/>
    <sheet name="306" sheetId="13" r:id="rId31"/>
    <sheet name="307" sheetId="14" r:id="rId32"/>
    <sheet name="308" sheetId="16" r:id="rId33"/>
    <sheet name="309" sheetId="17" r:id="rId34"/>
    <sheet name="310" sheetId="18" r:id="rId35"/>
    <sheet name="311" sheetId="74" r:id="rId36"/>
    <sheet name="312" sheetId="15" r:id="rId37"/>
    <sheet name="314" sheetId="19" r:id="rId38"/>
    <sheet name="315" sheetId="75" r:id="rId39"/>
    <sheet name="317" sheetId="31" r:id="rId40"/>
    <sheet name="318" sheetId="36" r:id="rId41"/>
    <sheet name="319" sheetId="76" r:id="rId42"/>
    <sheet name="320" sheetId="35" r:id="rId43"/>
    <sheet name="321" sheetId="30" r:id="rId44"/>
    <sheet name="322" sheetId="29" r:id="rId45"/>
    <sheet name="325" sheetId="28" r:id="rId46"/>
    <sheet name="327" sheetId="27" r:id="rId47"/>
    <sheet name="328" sheetId="77" r:id="rId48"/>
    <sheet name="330" sheetId="25" r:id="rId49"/>
    <sheet name="331" sheetId="40" r:id="rId50"/>
    <sheet name="332" sheetId="38" r:id="rId51"/>
    <sheet name="333" sheetId="39" r:id="rId52"/>
    <sheet name="334" sheetId="37" r:id="rId53"/>
    <sheet name="335" sheetId="33" r:id="rId54"/>
    <sheet name="336" sheetId="34" r:id="rId55"/>
    <sheet name="337" sheetId="24" r:id="rId56"/>
    <sheet name="338" sheetId="21" r:id="rId57"/>
    <sheet name="339" sheetId="78" r:id="rId58"/>
    <sheet name="340" sheetId="6" r:id="rId59"/>
    <sheet name="342" sheetId="79" r:id="rId60"/>
  </sheets>
  <definedNames>
    <definedName name="_xlnm.Print_Area" localSheetId="25">'301'!$A$2:$E$154</definedName>
    <definedName name="_xlnm.Print_Area" localSheetId="26">'302'!$A$2:$E$154</definedName>
    <definedName name="_xlnm.Print_Area" localSheetId="27">'303'!$A$2:$E$154</definedName>
    <definedName name="_xlnm.Print_Area" localSheetId="28">'304'!$A$2:$E$154</definedName>
    <definedName name="_xlnm.Print_Area" localSheetId="29">'305'!$A$2:$E$154</definedName>
    <definedName name="_xlnm.Print_Area" localSheetId="30">'306'!$A$2:$E$154</definedName>
    <definedName name="_xlnm.Print_Area" localSheetId="31">'307'!$A$2:$E$154</definedName>
    <definedName name="_xlnm.Print_Area" localSheetId="32">'308'!$A$2:$E$154</definedName>
    <definedName name="_xlnm.Print_Area" localSheetId="33">'309'!$A$2:$E$154</definedName>
    <definedName name="_xlnm.Print_Area" localSheetId="34">'310'!$A$2:$E$154</definedName>
    <definedName name="_xlnm.Print_Area" localSheetId="35">'311'!$A$2:$E$150</definedName>
    <definedName name="_xlnm.Print_Area" localSheetId="36">'312'!$A$2:$E$154</definedName>
    <definedName name="_xlnm.Print_Area" localSheetId="37">'314'!$A$2:$E$154</definedName>
    <definedName name="_xlnm.Print_Area" localSheetId="38">'315'!$A$2:$E$150</definedName>
    <definedName name="_xlnm.Print_Area" localSheetId="39">'317'!$A$2:$E$154</definedName>
    <definedName name="_xlnm.Print_Area" localSheetId="40">'318'!$A$2:$E$154</definedName>
    <definedName name="_xlnm.Print_Area" localSheetId="41">'319'!$A$2:$E$154</definedName>
    <definedName name="_xlnm.Print_Area" localSheetId="42">'320'!$A$2:$E$154</definedName>
    <definedName name="_xlnm.Print_Area" localSheetId="43">'321'!$A$2:$E$154</definedName>
    <definedName name="_xlnm.Print_Area" localSheetId="44">'322'!$A$2:$E$154</definedName>
    <definedName name="_xlnm.Print_Area" localSheetId="45">'325'!$A$2:$E$154</definedName>
    <definedName name="_xlnm.Print_Area" localSheetId="46">'327'!$A$2:$E$154</definedName>
    <definedName name="_xlnm.Print_Area" localSheetId="47">'328'!$A$2:$E$154</definedName>
    <definedName name="_xlnm.Print_Area" localSheetId="48">'330'!$A$2:$E$154</definedName>
    <definedName name="_xlnm.Print_Area" localSheetId="49">'331'!$A$2:$E$154</definedName>
    <definedName name="_xlnm.Print_Area" localSheetId="50">'332'!$A$2:$E$154</definedName>
    <definedName name="_xlnm.Print_Area" localSheetId="51">'333'!$A$2:$E$154</definedName>
    <definedName name="_xlnm.Print_Area" localSheetId="52">'334'!$A$2:$E$154</definedName>
    <definedName name="_xlnm.Print_Area" localSheetId="53">'335'!$A$2:$E$154</definedName>
    <definedName name="_xlnm.Print_Area" localSheetId="54">'336'!$A$2:$E$154</definedName>
    <definedName name="_xlnm.Print_Area" localSheetId="55">'337'!$A$2:$E$154</definedName>
    <definedName name="_xlnm.Print_Area" localSheetId="56">'338'!$A$2:$E$154</definedName>
    <definedName name="_xlnm.Print_Area" localSheetId="57">'339'!$A$2:$E$154</definedName>
    <definedName name="_xlnm.Print_Area" localSheetId="58">'340'!$A$2:$E$154</definedName>
    <definedName name="_xlnm.Print_Area" localSheetId="59">'342'!$A$2:$E$154</definedName>
    <definedName name="_xlnm.Print_Area" localSheetId="2">'CSA11'!$A$2:$E$154</definedName>
  </definedNames>
  <calcPr calcId="145621"/>
</workbook>
</file>

<file path=xl/calcChain.xml><?xml version="1.0" encoding="utf-8"?>
<calcChain xmlns="http://schemas.openxmlformats.org/spreadsheetml/2006/main">
  <c r="C3" i="79" l="1"/>
  <c r="C3" i="78"/>
  <c r="C3" i="77"/>
  <c r="C3" i="76"/>
  <c r="C3" i="75"/>
  <c r="C3" i="74"/>
  <c r="C3" i="9" l="1"/>
  <c r="C3" i="20"/>
  <c r="C3" i="43"/>
  <c r="C3" i="46"/>
  <c r="C3" i="47"/>
  <c r="C3" i="45"/>
  <c r="C3" i="48"/>
  <c r="C3" i="49"/>
  <c r="C3" i="50"/>
  <c r="C3" i="51"/>
  <c r="C3" i="52"/>
  <c r="C3" i="53"/>
  <c r="C3" i="54"/>
  <c r="C3" i="55"/>
  <c r="C3" i="56"/>
  <c r="C3" i="57"/>
  <c r="C3" i="59"/>
  <c r="C3" i="60"/>
  <c r="C3" i="61"/>
  <c r="C3" i="63"/>
  <c r="C3" i="64"/>
  <c r="C3" i="66"/>
  <c r="C3" i="67"/>
  <c r="C3" i="4"/>
  <c r="C3" i="5"/>
  <c r="C3" i="6"/>
  <c r="C3" i="7"/>
  <c r="C3" i="8"/>
  <c r="C3" i="13"/>
  <c r="C3" i="12"/>
  <c r="C3" i="14"/>
  <c r="C3" i="15"/>
  <c r="C3" i="16"/>
  <c r="C3" i="17"/>
  <c r="C3" i="18"/>
  <c r="C3" i="19"/>
  <c r="C3" i="21"/>
  <c r="C3" i="24"/>
  <c r="C3" i="25"/>
  <c r="C3" i="27"/>
  <c r="C3" i="28"/>
  <c r="C3" i="29"/>
  <c r="C3" i="30"/>
  <c r="C3" i="31"/>
  <c r="C3" i="33"/>
  <c r="C3" i="34"/>
  <c r="C3" i="35"/>
  <c r="C3" i="36"/>
  <c r="C3" i="37"/>
  <c r="C3" i="38"/>
  <c r="C3" i="39"/>
  <c r="C3" i="40"/>
  <c r="C3" i="11"/>
  <c r="B3" i="9"/>
  <c r="A3" i="20"/>
  <c r="A3" i="11"/>
  <c r="I3" i="67" l="1"/>
  <c r="I4" i="67"/>
  <c r="I5" i="67"/>
  <c r="I6" i="67"/>
  <c r="I7" i="67"/>
  <c r="I8" i="67"/>
  <c r="I9" i="67"/>
  <c r="I10" i="67"/>
  <c r="J12" i="67"/>
  <c r="K12" i="67"/>
  <c r="J13" i="67"/>
  <c r="K13" i="67"/>
  <c r="J14" i="67"/>
  <c r="K14" i="67"/>
  <c r="J15" i="67"/>
  <c r="K15" i="67"/>
  <c r="J16" i="67"/>
  <c r="K16" i="67"/>
  <c r="J17" i="67"/>
  <c r="K17" i="67"/>
  <c r="J18" i="67"/>
  <c r="K18" i="67"/>
  <c r="J19" i="67"/>
  <c r="K19" i="67"/>
  <c r="J20" i="67"/>
  <c r="K20" i="67"/>
  <c r="J21" i="67"/>
  <c r="K21" i="67"/>
  <c r="J22" i="67"/>
  <c r="K22" i="67"/>
  <c r="J23" i="67"/>
  <c r="K23" i="67"/>
  <c r="I26" i="67"/>
  <c r="I27" i="67"/>
  <c r="I28" i="67"/>
  <c r="I29" i="67"/>
  <c r="I30" i="67"/>
  <c r="I31" i="67"/>
  <c r="I32" i="67"/>
  <c r="I33" i="67"/>
  <c r="I34" i="67"/>
  <c r="I35" i="67"/>
  <c r="I36" i="67"/>
  <c r="I37" i="67"/>
  <c r="I38" i="67"/>
  <c r="I39" i="67"/>
  <c r="I40" i="67"/>
  <c r="I3" i="66"/>
  <c r="I4" i="66"/>
  <c r="I5" i="66"/>
  <c r="I6" i="66"/>
  <c r="I7" i="66"/>
  <c r="I8" i="66"/>
  <c r="I9" i="66"/>
  <c r="I10" i="66"/>
  <c r="I11" i="66"/>
  <c r="I12" i="66"/>
  <c r="I13" i="66"/>
  <c r="I14" i="66"/>
  <c r="I15" i="66"/>
  <c r="I16" i="66"/>
  <c r="I17" i="66"/>
  <c r="I18" i="66"/>
  <c r="I19" i="66"/>
  <c r="I20" i="66"/>
  <c r="I21" i="66"/>
  <c r="I22" i="66"/>
  <c r="I23" i="66"/>
  <c r="I3" i="64"/>
  <c r="I4" i="64"/>
  <c r="I5" i="64"/>
  <c r="I6" i="64"/>
  <c r="I7" i="64"/>
  <c r="I8" i="64"/>
  <c r="I9" i="64"/>
  <c r="I10" i="64"/>
  <c r="J12" i="64"/>
  <c r="K12" i="64"/>
  <c r="J13" i="64"/>
  <c r="K13" i="64"/>
  <c r="J14" i="64"/>
  <c r="K14" i="64"/>
  <c r="J15" i="64"/>
  <c r="K15" i="64"/>
  <c r="J16" i="64"/>
  <c r="K16" i="64"/>
  <c r="J17" i="64"/>
  <c r="K17" i="64"/>
  <c r="J18" i="64"/>
  <c r="K18" i="64"/>
  <c r="J19" i="64"/>
  <c r="K19" i="64"/>
  <c r="J20" i="64"/>
  <c r="K20" i="64"/>
  <c r="J21" i="64"/>
  <c r="K21" i="64"/>
  <c r="J22" i="64"/>
  <c r="K22" i="64"/>
  <c r="J23" i="64"/>
  <c r="K23" i="64"/>
  <c r="I26" i="64"/>
  <c r="I27" i="64"/>
  <c r="I28" i="64"/>
  <c r="I29" i="64"/>
  <c r="I30" i="64"/>
  <c r="I31" i="64"/>
  <c r="I32" i="64"/>
  <c r="I33" i="64"/>
  <c r="I34" i="64"/>
  <c r="I35" i="64"/>
  <c r="I36" i="64"/>
  <c r="I37" i="64"/>
  <c r="I38" i="64"/>
  <c r="I39" i="64"/>
  <c r="I40" i="64"/>
  <c r="I41" i="64"/>
  <c r="I42" i="64"/>
  <c r="I43" i="64"/>
  <c r="I44" i="64"/>
  <c r="I45" i="64"/>
  <c r="I3" i="63"/>
  <c r="I4" i="63"/>
  <c r="I5" i="63"/>
  <c r="I6" i="63"/>
  <c r="I7" i="63"/>
  <c r="I8" i="63"/>
  <c r="I9" i="63"/>
  <c r="I10" i="63"/>
  <c r="I11" i="63"/>
  <c r="I12" i="63"/>
  <c r="I13" i="63"/>
  <c r="I14" i="63"/>
  <c r="I15" i="63"/>
  <c r="I16" i="63"/>
  <c r="I17" i="63"/>
  <c r="I18" i="63"/>
  <c r="I3" i="61"/>
  <c r="I4" i="61"/>
  <c r="I5" i="61"/>
  <c r="I6" i="61"/>
  <c r="I7" i="61"/>
  <c r="I8" i="61"/>
  <c r="I9" i="61"/>
  <c r="I10" i="61"/>
  <c r="J12" i="61"/>
  <c r="K12" i="61"/>
  <c r="J13" i="61"/>
  <c r="K13" i="61"/>
  <c r="J14" i="61"/>
  <c r="K14" i="61"/>
  <c r="J15" i="61"/>
  <c r="K15" i="61"/>
  <c r="J16" i="61"/>
  <c r="K16" i="61"/>
  <c r="J17" i="61"/>
  <c r="K17" i="61"/>
  <c r="J18" i="61"/>
  <c r="K18" i="61"/>
  <c r="J19" i="61"/>
  <c r="K19" i="61"/>
  <c r="J20" i="61"/>
  <c r="K20" i="61"/>
  <c r="J21" i="61"/>
  <c r="K21" i="61"/>
  <c r="J22" i="61"/>
  <c r="K22" i="61"/>
  <c r="J23" i="61"/>
  <c r="K23" i="61"/>
  <c r="I26" i="61"/>
  <c r="I27" i="61"/>
  <c r="I28" i="61"/>
  <c r="I29" i="61"/>
  <c r="I30" i="61"/>
  <c r="I31" i="61"/>
  <c r="I32" i="61"/>
  <c r="I33" i="61"/>
  <c r="I34" i="61"/>
  <c r="I35" i="61"/>
  <c r="I36" i="61"/>
  <c r="I37" i="61"/>
  <c r="I38" i="61"/>
  <c r="I39" i="61"/>
  <c r="I40" i="61"/>
  <c r="I41" i="61"/>
  <c r="I42" i="61"/>
  <c r="I43" i="61"/>
  <c r="I3" i="60"/>
  <c r="I4" i="60"/>
  <c r="I5" i="60"/>
  <c r="I6" i="60"/>
  <c r="I7" i="60"/>
  <c r="I8" i="60"/>
  <c r="I9" i="60"/>
  <c r="I10" i="60"/>
  <c r="I11" i="60"/>
  <c r="I12" i="60"/>
  <c r="I13" i="60"/>
  <c r="I14" i="60"/>
  <c r="I15" i="60"/>
  <c r="I16" i="60"/>
  <c r="I17" i="60"/>
  <c r="I18" i="60"/>
  <c r="I3" i="59"/>
  <c r="I4" i="59"/>
  <c r="I5" i="59"/>
  <c r="I6" i="59"/>
  <c r="I7" i="59"/>
  <c r="I8" i="59"/>
  <c r="I9" i="59"/>
  <c r="I10" i="59"/>
  <c r="I11" i="59"/>
  <c r="I12" i="59"/>
  <c r="I13" i="59"/>
  <c r="I14" i="59"/>
  <c r="I15" i="59"/>
  <c r="I16" i="59"/>
  <c r="I17" i="59"/>
  <c r="I18" i="59"/>
  <c r="I3" i="57"/>
  <c r="I4" i="57"/>
  <c r="I5" i="57"/>
  <c r="I6" i="57"/>
  <c r="I7" i="57"/>
  <c r="I8" i="57"/>
  <c r="I9" i="57"/>
  <c r="I10" i="57"/>
  <c r="J12" i="57"/>
  <c r="K12" i="57"/>
  <c r="J13" i="57"/>
  <c r="K13" i="57"/>
  <c r="J14" i="57"/>
  <c r="K14" i="57"/>
  <c r="J15" i="57"/>
  <c r="K15" i="57"/>
  <c r="J16" i="57"/>
  <c r="K16" i="57"/>
  <c r="J17" i="57"/>
  <c r="K17" i="57"/>
  <c r="J18" i="57"/>
  <c r="K18" i="57"/>
  <c r="J19" i="57"/>
  <c r="K19" i="57"/>
  <c r="J20" i="57"/>
  <c r="K20" i="57"/>
  <c r="J21" i="57"/>
  <c r="K21" i="57"/>
  <c r="J22" i="57"/>
  <c r="K22" i="57"/>
  <c r="J23" i="57"/>
  <c r="K23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3" i="56"/>
  <c r="I4" i="56"/>
  <c r="I5" i="56"/>
  <c r="I6" i="56"/>
  <c r="I7" i="56"/>
  <c r="I8" i="56"/>
  <c r="I9" i="56"/>
  <c r="I10" i="56"/>
  <c r="J12" i="56"/>
  <c r="K12" i="56"/>
  <c r="J13" i="56"/>
  <c r="K13" i="56"/>
  <c r="J14" i="56"/>
  <c r="K14" i="56"/>
  <c r="J15" i="56"/>
  <c r="K15" i="56"/>
  <c r="J16" i="56"/>
  <c r="K16" i="56"/>
  <c r="J17" i="56"/>
  <c r="K17" i="56"/>
  <c r="J18" i="56"/>
  <c r="K18" i="56"/>
  <c r="J19" i="56"/>
  <c r="K19" i="56"/>
  <c r="J20" i="56"/>
  <c r="K20" i="56"/>
  <c r="J21" i="56"/>
  <c r="K21" i="56"/>
  <c r="J22" i="56"/>
  <c r="K22" i="56"/>
  <c r="J23" i="56"/>
  <c r="K23" i="56"/>
  <c r="I26" i="56"/>
  <c r="I27" i="56"/>
  <c r="I28" i="56"/>
  <c r="I29" i="56"/>
  <c r="I30" i="56"/>
  <c r="I31" i="56"/>
  <c r="I32" i="56"/>
  <c r="I33" i="56"/>
  <c r="I34" i="56"/>
  <c r="I35" i="56"/>
  <c r="I36" i="56"/>
  <c r="I37" i="56"/>
  <c r="I38" i="56"/>
  <c r="I39" i="56"/>
  <c r="I40" i="56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1" i="54"/>
  <c r="I12" i="54"/>
  <c r="I13" i="54"/>
  <c r="I14" i="54"/>
  <c r="I15" i="54"/>
  <c r="I16" i="54"/>
  <c r="I17" i="54"/>
  <c r="I18" i="54"/>
  <c r="J20" i="54"/>
  <c r="K20" i="54"/>
  <c r="J21" i="54"/>
  <c r="K21" i="54"/>
  <c r="J22" i="54"/>
  <c r="K22" i="54"/>
  <c r="J23" i="54"/>
  <c r="K23" i="54"/>
  <c r="J24" i="54"/>
  <c r="K24" i="54"/>
  <c r="J25" i="54"/>
  <c r="K25" i="54"/>
  <c r="J26" i="54"/>
  <c r="K26" i="54"/>
  <c r="J27" i="54"/>
  <c r="K27" i="54"/>
  <c r="J28" i="54"/>
  <c r="K28" i="54"/>
  <c r="J29" i="54"/>
  <c r="K29" i="54"/>
  <c r="J30" i="54"/>
  <c r="K30" i="54"/>
  <c r="J31" i="54"/>
  <c r="K31" i="54"/>
  <c r="I3" i="53"/>
  <c r="I4" i="53"/>
  <c r="I5" i="53"/>
  <c r="I6" i="53"/>
  <c r="I7" i="53"/>
  <c r="I8" i="53"/>
  <c r="I9" i="53"/>
  <c r="I10" i="53"/>
  <c r="I11" i="53"/>
  <c r="I12" i="53"/>
  <c r="I13" i="53"/>
  <c r="I14" i="53"/>
  <c r="I15" i="53"/>
  <c r="I16" i="53"/>
  <c r="I17" i="53"/>
  <c r="I18" i="53"/>
  <c r="J20" i="53"/>
  <c r="K20" i="53"/>
  <c r="J21" i="53"/>
  <c r="K21" i="53"/>
  <c r="J22" i="53"/>
  <c r="K22" i="53"/>
  <c r="J23" i="53"/>
  <c r="K23" i="53"/>
  <c r="J24" i="53"/>
  <c r="K24" i="53"/>
  <c r="J25" i="53"/>
  <c r="K25" i="53"/>
  <c r="J26" i="53"/>
  <c r="K26" i="53"/>
  <c r="J27" i="53"/>
  <c r="K27" i="53"/>
  <c r="J28" i="53"/>
  <c r="K28" i="53"/>
  <c r="J29" i="53"/>
  <c r="K29" i="53"/>
  <c r="J30" i="53"/>
  <c r="K30" i="53"/>
  <c r="J31" i="53"/>
  <c r="K31" i="53"/>
  <c r="I3" i="52"/>
  <c r="I4" i="52"/>
  <c r="I5" i="52"/>
  <c r="I6" i="52"/>
  <c r="I7" i="52"/>
  <c r="I8" i="52"/>
  <c r="I9" i="52"/>
  <c r="I10" i="52"/>
  <c r="I11" i="52"/>
  <c r="I12" i="52"/>
  <c r="I13" i="52"/>
  <c r="I14" i="52"/>
  <c r="I15" i="52"/>
  <c r="I16" i="52"/>
  <c r="I17" i="52"/>
  <c r="I18" i="52"/>
  <c r="J20" i="52"/>
  <c r="K20" i="52"/>
  <c r="J21" i="52"/>
  <c r="K21" i="52"/>
  <c r="J22" i="52"/>
  <c r="K22" i="52"/>
  <c r="J23" i="52"/>
  <c r="K23" i="52"/>
  <c r="J24" i="52"/>
  <c r="K24" i="52"/>
  <c r="J25" i="52"/>
  <c r="K25" i="52"/>
  <c r="J26" i="52"/>
  <c r="K26" i="52"/>
  <c r="J27" i="52"/>
  <c r="K27" i="52"/>
  <c r="J28" i="52"/>
  <c r="K28" i="52"/>
  <c r="J29" i="52"/>
  <c r="K29" i="52"/>
  <c r="J30" i="52"/>
  <c r="K30" i="52"/>
  <c r="J31" i="52"/>
  <c r="K31" i="52"/>
  <c r="I3" i="51"/>
  <c r="I4" i="51"/>
  <c r="I5" i="51"/>
  <c r="I6" i="51"/>
  <c r="I7" i="51"/>
  <c r="I8" i="51"/>
  <c r="I9" i="51"/>
  <c r="I10" i="51"/>
  <c r="I11" i="51"/>
  <c r="I12" i="51"/>
  <c r="I13" i="51"/>
  <c r="I14" i="51"/>
  <c r="I15" i="51"/>
  <c r="I16" i="51"/>
  <c r="I17" i="51"/>
  <c r="I18" i="51"/>
  <c r="J20" i="51"/>
  <c r="K20" i="51"/>
  <c r="J21" i="51"/>
  <c r="K21" i="51"/>
  <c r="J22" i="51"/>
  <c r="K22" i="51"/>
  <c r="J23" i="51"/>
  <c r="K23" i="51"/>
  <c r="J24" i="51"/>
  <c r="K24" i="51"/>
  <c r="J25" i="51"/>
  <c r="K25" i="51"/>
  <c r="J26" i="51"/>
  <c r="K26" i="51"/>
  <c r="J27" i="51"/>
  <c r="K27" i="51"/>
  <c r="J28" i="51"/>
  <c r="K28" i="51"/>
  <c r="J29" i="51"/>
  <c r="K29" i="51"/>
  <c r="J30" i="51"/>
  <c r="K30" i="51"/>
  <c r="J31" i="51"/>
  <c r="K31" i="51"/>
  <c r="I3" i="50"/>
  <c r="I4" i="50"/>
  <c r="I5" i="50"/>
  <c r="I6" i="50"/>
  <c r="I7" i="50"/>
  <c r="J7" i="50"/>
  <c r="K7" i="50"/>
  <c r="L7" i="50"/>
  <c r="I8" i="50"/>
  <c r="J8" i="50"/>
  <c r="K8" i="50"/>
  <c r="L8" i="50"/>
  <c r="I9" i="50"/>
  <c r="J9" i="50"/>
  <c r="K9" i="50"/>
  <c r="L9" i="50"/>
  <c r="I10" i="50"/>
  <c r="J10" i="50"/>
  <c r="K10" i="50"/>
  <c r="L10" i="50"/>
  <c r="I11" i="50"/>
  <c r="J11" i="50"/>
  <c r="K11" i="50"/>
  <c r="L11" i="50"/>
  <c r="I12" i="50"/>
  <c r="J12" i="50"/>
  <c r="K12" i="50"/>
  <c r="L12" i="50"/>
  <c r="I13" i="50"/>
  <c r="J13" i="50"/>
  <c r="K13" i="50"/>
  <c r="L13" i="50"/>
  <c r="I14" i="50"/>
  <c r="J14" i="50"/>
  <c r="K14" i="50"/>
  <c r="L14" i="50"/>
  <c r="I15" i="50"/>
  <c r="J15" i="50"/>
  <c r="K15" i="50"/>
  <c r="L15" i="50"/>
  <c r="I16" i="50"/>
  <c r="J16" i="50"/>
  <c r="K16" i="50"/>
  <c r="L16" i="50"/>
  <c r="I17" i="50"/>
  <c r="J17" i="50"/>
  <c r="K17" i="50"/>
  <c r="L17" i="50"/>
  <c r="I18" i="50"/>
  <c r="J18" i="50"/>
  <c r="K18" i="50"/>
  <c r="L18" i="50"/>
  <c r="J20" i="50"/>
  <c r="L20" i="50"/>
  <c r="M20" i="50"/>
  <c r="J21" i="50"/>
  <c r="L21" i="50"/>
  <c r="M21" i="50"/>
  <c r="J22" i="50"/>
  <c r="L22" i="50"/>
  <c r="M22" i="50"/>
  <c r="J23" i="50"/>
  <c r="L23" i="50"/>
  <c r="M23" i="50"/>
  <c r="J24" i="50"/>
  <c r="L24" i="50"/>
  <c r="M24" i="50"/>
  <c r="J25" i="50"/>
  <c r="L25" i="50"/>
  <c r="M25" i="50"/>
  <c r="J26" i="50"/>
  <c r="L26" i="50"/>
  <c r="M26" i="50"/>
  <c r="J27" i="50"/>
  <c r="L27" i="50"/>
  <c r="M27" i="50"/>
  <c r="J28" i="50"/>
  <c r="L28" i="50"/>
  <c r="M28" i="50"/>
  <c r="J29" i="50"/>
  <c r="L29" i="50"/>
  <c r="M29" i="50"/>
  <c r="J30" i="50"/>
  <c r="L30" i="50"/>
  <c r="M30" i="50"/>
  <c r="J31" i="50"/>
  <c r="L31" i="50"/>
  <c r="M31" i="50"/>
  <c r="I3" i="49"/>
  <c r="I4" i="49"/>
  <c r="I5" i="49"/>
  <c r="I6" i="49"/>
  <c r="I7" i="49"/>
  <c r="I8" i="49"/>
  <c r="I9" i="49"/>
  <c r="I10" i="49"/>
  <c r="I11" i="49"/>
  <c r="I12" i="49"/>
  <c r="I13" i="49"/>
  <c r="I14" i="49"/>
  <c r="I15" i="49"/>
  <c r="I16" i="49"/>
  <c r="I17" i="49"/>
  <c r="I18" i="49"/>
  <c r="J20" i="49"/>
  <c r="K20" i="49"/>
  <c r="J21" i="49"/>
  <c r="K21" i="49"/>
  <c r="J22" i="49"/>
  <c r="K22" i="49"/>
  <c r="J23" i="49"/>
  <c r="K23" i="49"/>
  <c r="J24" i="49"/>
  <c r="K24" i="49"/>
  <c r="J25" i="49"/>
  <c r="K25" i="49"/>
  <c r="J26" i="49"/>
  <c r="K26" i="49"/>
  <c r="J27" i="49"/>
  <c r="K27" i="49"/>
  <c r="J28" i="49"/>
  <c r="K28" i="49"/>
  <c r="J29" i="49"/>
  <c r="K29" i="49"/>
  <c r="J30" i="49"/>
  <c r="K30" i="49"/>
  <c r="J31" i="49"/>
  <c r="K31" i="49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J20" i="48"/>
  <c r="K20" i="48"/>
  <c r="J21" i="48"/>
  <c r="K21" i="48"/>
  <c r="J22" i="48"/>
  <c r="K22" i="48"/>
  <c r="J23" i="48"/>
  <c r="K23" i="48"/>
  <c r="J24" i="48"/>
  <c r="K24" i="48"/>
  <c r="J25" i="48"/>
  <c r="K25" i="48"/>
  <c r="J26" i="48"/>
  <c r="K26" i="48"/>
  <c r="J27" i="48"/>
  <c r="K27" i="48"/>
  <c r="J28" i="48"/>
  <c r="K28" i="48"/>
  <c r="J29" i="48"/>
  <c r="K29" i="48"/>
  <c r="J30" i="48"/>
  <c r="K30" i="48"/>
  <c r="J31" i="48"/>
  <c r="K31" i="48"/>
  <c r="I3" i="47"/>
  <c r="I4" i="47"/>
  <c r="I5" i="47"/>
  <c r="I6" i="47"/>
  <c r="I7" i="47"/>
  <c r="I8" i="47"/>
  <c r="I9" i="47"/>
  <c r="I10" i="47"/>
  <c r="I11" i="47"/>
  <c r="I12" i="47"/>
  <c r="I13" i="47"/>
  <c r="I14" i="47"/>
  <c r="I15" i="47"/>
  <c r="I16" i="47"/>
  <c r="I17" i="47"/>
  <c r="I18" i="47"/>
  <c r="J20" i="47"/>
  <c r="K20" i="47"/>
  <c r="J21" i="47"/>
  <c r="K21" i="47"/>
  <c r="J22" i="47"/>
  <c r="K22" i="47"/>
  <c r="J23" i="47"/>
  <c r="K23" i="47"/>
  <c r="J24" i="47"/>
  <c r="K24" i="47"/>
  <c r="J25" i="47"/>
  <c r="K25" i="47"/>
  <c r="J26" i="47"/>
  <c r="K26" i="47"/>
  <c r="J27" i="47"/>
  <c r="K27" i="47"/>
  <c r="J28" i="47"/>
  <c r="K28" i="47"/>
  <c r="J29" i="47"/>
  <c r="K29" i="47"/>
  <c r="J30" i="47"/>
  <c r="K30" i="47"/>
  <c r="J31" i="47"/>
  <c r="K31" i="47"/>
  <c r="I3" i="46"/>
  <c r="I4" i="46"/>
  <c r="I5" i="46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J20" i="46"/>
  <c r="K20" i="46"/>
  <c r="J21" i="46"/>
  <c r="K21" i="46"/>
  <c r="J22" i="46"/>
  <c r="K22" i="46"/>
  <c r="J23" i="46"/>
  <c r="K23" i="46"/>
  <c r="J24" i="46"/>
  <c r="K24" i="46"/>
  <c r="J25" i="46"/>
  <c r="K25" i="46"/>
  <c r="J26" i="46"/>
  <c r="K26" i="46"/>
  <c r="J27" i="46"/>
  <c r="K27" i="46"/>
  <c r="J28" i="46"/>
  <c r="K28" i="46"/>
  <c r="J29" i="46"/>
  <c r="K29" i="46"/>
  <c r="J30" i="46"/>
  <c r="K30" i="46"/>
  <c r="J31" i="46"/>
  <c r="K31" i="46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J20" i="45"/>
  <c r="K20" i="45"/>
  <c r="J21" i="45"/>
  <c r="K21" i="45"/>
  <c r="J22" i="45"/>
  <c r="K22" i="45"/>
  <c r="J23" i="45"/>
  <c r="K23" i="45"/>
  <c r="J24" i="45"/>
  <c r="K24" i="45"/>
  <c r="J25" i="45"/>
  <c r="K25" i="45"/>
  <c r="J26" i="45"/>
  <c r="K26" i="45"/>
  <c r="J27" i="45"/>
  <c r="K27" i="45"/>
  <c r="J28" i="45"/>
  <c r="K28" i="45"/>
  <c r="J29" i="45"/>
  <c r="K29" i="45"/>
  <c r="J30" i="45"/>
  <c r="K30" i="45"/>
  <c r="J31" i="45"/>
  <c r="K31" i="45"/>
  <c r="I3" i="43"/>
  <c r="J3" i="43"/>
  <c r="K3" i="43"/>
  <c r="I4" i="43"/>
  <c r="J4" i="43"/>
  <c r="K4" i="43"/>
  <c r="I5" i="43"/>
  <c r="J5" i="43"/>
  <c r="K5" i="43"/>
  <c r="L5" i="43"/>
  <c r="I6" i="43"/>
  <c r="J6" i="43"/>
  <c r="K6" i="43"/>
  <c r="L6" i="43"/>
  <c r="I7" i="43"/>
  <c r="J7" i="43"/>
  <c r="K7" i="43"/>
  <c r="L7" i="43"/>
  <c r="I8" i="43"/>
  <c r="J8" i="43"/>
  <c r="K8" i="43"/>
  <c r="L8" i="43"/>
  <c r="I9" i="43"/>
  <c r="J9" i="43"/>
  <c r="K9" i="43"/>
  <c r="L9" i="43"/>
  <c r="I10" i="43"/>
  <c r="J10" i="43"/>
  <c r="K10" i="43"/>
  <c r="L10" i="43"/>
  <c r="I11" i="43"/>
  <c r="J11" i="43"/>
  <c r="K11" i="43"/>
  <c r="L11" i="43"/>
  <c r="I12" i="43"/>
  <c r="J12" i="43"/>
  <c r="K12" i="43"/>
  <c r="L12" i="43"/>
  <c r="I13" i="43"/>
  <c r="J13" i="43"/>
  <c r="K13" i="43"/>
  <c r="L13" i="43"/>
  <c r="I14" i="43"/>
  <c r="J14" i="43"/>
  <c r="K14" i="43"/>
  <c r="L14" i="43"/>
  <c r="I15" i="43"/>
  <c r="J15" i="43"/>
  <c r="K15" i="43"/>
  <c r="L15" i="43"/>
  <c r="I16" i="43"/>
  <c r="J16" i="43"/>
  <c r="K16" i="43"/>
  <c r="L16" i="43"/>
  <c r="J17" i="43"/>
  <c r="K17" i="43"/>
  <c r="L17" i="43"/>
  <c r="J18" i="43"/>
  <c r="K18" i="43"/>
  <c r="L18" i="43"/>
  <c r="J20" i="43"/>
  <c r="L20" i="43"/>
  <c r="M20" i="43"/>
  <c r="J21" i="43"/>
  <c r="L21" i="43"/>
  <c r="M21" i="43"/>
  <c r="J22" i="43"/>
  <c r="L22" i="43"/>
  <c r="M22" i="43"/>
  <c r="J23" i="43"/>
  <c r="L23" i="43"/>
  <c r="M23" i="43"/>
  <c r="J24" i="43"/>
  <c r="L24" i="43"/>
  <c r="M24" i="43"/>
  <c r="J25" i="43"/>
  <c r="L25" i="43"/>
  <c r="M25" i="43"/>
  <c r="J26" i="43"/>
  <c r="L26" i="43"/>
  <c r="M26" i="43"/>
  <c r="J27" i="43"/>
  <c r="L27" i="43"/>
  <c r="M27" i="43"/>
  <c r="J28" i="43"/>
  <c r="L28" i="43"/>
  <c r="M28" i="43"/>
  <c r="J29" i="43"/>
  <c r="L29" i="43"/>
  <c r="M29" i="43"/>
  <c r="J30" i="43"/>
  <c r="L30" i="43"/>
  <c r="M30" i="43"/>
  <c r="J31" i="43"/>
  <c r="L31" i="43"/>
  <c r="M31" i="43"/>
  <c r="A3" i="9"/>
  <c r="A3" i="55"/>
  <c r="A3" i="61"/>
  <c r="B3" i="63"/>
  <c r="A3" i="51"/>
  <c r="A3" i="49"/>
  <c r="A3" i="59"/>
  <c r="B3" i="54"/>
  <c r="A3" i="54"/>
  <c r="A3" i="45"/>
  <c r="A3" i="66"/>
  <c r="B3" i="11"/>
  <c r="B3" i="52"/>
  <c r="B3" i="43"/>
  <c r="A3" i="63"/>
  <c r="B3" i="57"/>
  <c r="A3" i="48"/>
  <c r="A3" i="64"/>
  <c r="A3" i="57"/>
  <c r="B3" i="45"/>
  <c r="A3" i="56"/>
  <c r="B3" i="51"/>
  <c r="B3" i="50"/>
  <c r="B3" i="59"/>
  <c r="B3" i="49"/>
  <c r="A3" i="52"/>
  <c r="A3" i="46"/>
  <c r="B3" i="20"/>
  <c r="B3" i="46"/>
  <c r="A3" i="47"/>
  <c r="B3" i="53"/>
  <c r="A3" i="50"/>
  <c r="A3" i="67"/>
  <c r="B3" i="60"/>
  <c r="A3" i="43"/>
  <c r="B3" i="61"/>
  <c r="B3" i="64"/>
  <c r="B3" i="47"/>
  <c r="B3" i="56"/>
  <c r="A3" i="60"/>
  <c r="B3" i="48"/>
  <c r="B3" i="67"/>
  <c r="B3" i="55"/>
  <c r="A3" i="53"/>
  <c r="B3" i="66"/>
  <c r="I3" i="20" l="1"/>
  <c r="AB3" i="20"/>
  <c r="AC3" i="20"/>
  <c r="I4" i="20"/>
  <c r="AB4" i="20"/>
  <c r="AC4" i="20"/>
  <c r="I5" i="20"/>
  <c r="AB5" i="20"/>
  <c r="AC5" i="20"/>
  <c r="I6" i="20"/>
  <c r="AB6" i="20"/>
  <c r="AC6" i="20"/>
  <c r="I7" i="20"/>
  <c r="AB7" i="20"/>
  <c r="AC7" i="20"/>
  <c r="I8" i="20"/>
  <c r="AB8" i="20"/>
  <c r="AC8" i="20"/>
  <c r="I9" i="20"/>
  <c r="AB9" i="20"/>
  <c r="AC9" i="20"/>
  <c r="I10" i="20"/>
  <c r="AB10" i="20"/>
  <c r="AC10" i="20"/>
  <c r="I11" i="20"/>
  <c r="AB11" i="20"/>
  <c r="AC11" i="20"/>
  <c r="I12" i="20"/>
  <c r="AB12" i="20"/>
  <c r="AC12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F13" i="20"/>
  <c r="AG13" i="20"/>
  <c r="AH13" i="20"/>
  <c r="AI13" i="20"/>
  <c r="AJ13" i="20"/>
  <c r="AK13" i="20"/>
  <c r="AL13" i="20"/>
  <c r="AM13" i="20"/>
  <c r="AN13" i="20"/>
  <c r="AO13" i="20"/>
  <c r="AX13" i="20"/>
  <c r="AY13" i="20"/>
  <c r="AZ13" i="20"/>
  <c r="BA13" i="20"/>
  <c r="BB13" i="20"/>
  <c r="BC13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F14" i="20"/>
  <c r="AG14" i="20"/>
  <c r="AH14" i="20"/>
  <c r="AI14" i="20"/>
  <c r="AJ14" i="20"/>
  <c r="AK14" i="20"/>
  <c r="AL14" i="20"/>
  <c r="AM14" i="20"/>
  <c r="AN14" i="20"/>
  <c r="AO14" i="20"/>
  <c r="AX14" i="20"/>
  <c r="AY14" i="20"/>
  <c r="AZ14" i="20"/>
  <c r="BA14" i="20"/>
  <c r="BB14" i="20"/>
  <c r="BC14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F15" i="20"/>
  <c r="AG15" i="20"/>
  <c r="AH15" i="20"/>
  <c r="AI15" i="20"/>
  <c r="AJ15" i="20"/>
  <c r="AK15" i="20"/>
  <c r="AL15" i="20"/>
  <c r="AM15" i="20"/>
  <c r="AN15" i="20"/>
  <c r="AO15" i="20"/>
  <c r="AX15" i="20"/>
  <c r="AY15" i="20"/>
  <c r="AZ15" i="20"/>
  <c r="BA15" i="20"/>
  <c r="BB15" i="20"/>
  <c r="BC15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F16" i="20"/>
  <c r="AG16" i="20"/>
  <c r="AH16" i="20"/>
  <c r="AI16" i="20"/>
  <c r="AJ16" i="20"/>
  <c r="AK16" i="20"/>
  <c r="AL16" i="20"/>
  <c r="AM16" i="20"/>
  <c r="AN16" i="20"/>
  <c r="AO16" i="20"/>
  <c r="AX16" i="20"/>
  <c r="AY16" i="20"/>
  <c r="AZ16" i="20"/>
  <c r="BA16" i="20"/>
  <c r="BB16" i="20"/>
  <c r="BC16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F17" i="20"/>
  <c r="AG17" i="20"/>
  <c r="AH17" i="20"/>
  <c r="AI17" i="20"/>
  <c r="AJ17" i="20"/>
  <c r="AK17" i="20"/>
  <c r="AL17" i="20"/>
  <c r="AM17" i="20"/>
  <c r="AN17" i="20"/>
  <c r="AO17" i="20"/>
  <c r="AX17" i="20"/>
  <c r="AY17" i="20"/>
  <c r="AZ17" i="20"/>
  <c r="BA17" i="20"/>
  <c r="BB17" i="20"/>
  <c r="BC17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F18" i="20"/>
  <c r="AG18" i="20"/>
  <c r="AH18" i="20"/>
  <c r="AI18" i="20"/>
  <c r="AJ18" i="20"/>
  <c r="AK18" i="20"/>
  <c r="AL18" i="20"/>
  <c r="AM18" i="20"/>
  <c r="AN18" i="20"/>
  <c r="AO18" i="20"/>
  <c r="AX18" i="20"/>
  <c r="AY18" i="20"/>
  <c r="AZ18" i="20"/>
  <c r="BA18" i="20"/>
  <c r="BB18" i="20"/>
  <c r="BC18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F19" i="20"/>
  <c r="AG19" i="20"/>
  <c r="AH19" i="20"/>
  <c r="AI19" i="20"/>
  <c r="AJ19" i="20"/>
  <c r="AK19" i="20"/>
  <c r="AL19" i="20"/>
  <c r="AM19" i="20"/>
  <c r="AN19" i="20"/>
  <c r="AO19" i="20"/>
  <c r="AX19" i="20"/>
  <c r="AY19" i="20"/>
  <c r="AZ19" i="20"/>
  <c r="BA19" i="20"/>
  <c r="BB19" i="20"/>
  <c r="BC19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F20" i="20"/>
  <c r="AG20" i="20"/>
  <c r="AH20" i="20"/>
  <c r="AI20" i="20"/>
  <c r="AJ20" i="20"/>
  <c r="AK20" i="20"/>
  <c r="AL20" i="20"/>
  <c r="AM20" i="20"/>
  <c r="AN20" i="20"/>
  <c r="AO20" i="20"/>
  <c r="AX20" i="20"/>
  <c r="AY20" i="20"/>
  <c r="AZ20" i="20"/>
  <c r="BA20" i="20"/>
  <c r="BB20" i="20"/>
  <c r="BC20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F21" i="20"/>
  <c r="AG21" i="20"/>
  <c r="AH21" i="20"/>
  <c r="AI21" i="20"/>
  <c r="AJ21" i="20"/>
  <c r="AK21" i="20"/>
  <c r="AL21" i="20"/>
  <c r="AM21" i="20"/>
  <c r="AN21" i="20"/>
  <c r="AO21" i="20"/>
  <c r="AX21" i="20"/>
  <c r="AY21" i="20"/>
  <c r="AZ21" i="20"/>
  <c r="BA21" i="20"/>
  <c r="BB21" i="20"/>
  <c r="BC21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F22" i="20"/>
  <c r="AG22" i="20"/>
  <c r="AH22" i="20"/>
  <c r="AI22" i="20"/>
  <c r="AJ22" i="20"/>
  <c r="AK22" i="20"/>
  <c r="AL22" i="20"/>
  <c r="AM22" i="20"/>
  <c r="AN22" i="20"/>
  <c r="AO22" i="20"/>
  <c r="AX22" i="20"/>
  <c r="AY22" i="20"/>
  <c r="AZ22" i="20"/>
  <c r="BA22" i="20"/>
  <c r="BB22" i="20"/>
  <c r="BC22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F23" i="20"/>
  <c r="AG23" i="20"/>
  <c r="AH23" i="20"/>
  <c r="AI23" i="20"/>
  <c r="AJ23" i="20"/>
  <c r="AK23" i="20"/>
  <c r="AL23" i="20"/>
  <c r="AM23" i="20"/>
  <c r="AN23" i="20"/>
  <c r="AO23" i="20"/>
  <c r="AX23" i="20"/>
  <c r="AY23" i="20"/>
  <c r="AZ23" i="20"/>
  <c r="BA23" i="20"/>
  <c r="BB23" i="20"/>
  <c r="BC23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F24" i="20"/>
  <c r="AG24" i="20"/>
  <c r="AH24" i="20"/>
  <c r="AI24" i="20"/>
  <c r="AJ24" i="20"/>
  <c r="AK24" i="20"/>
  <c r="AL24" i="20"/>
  <c r="AM24" i="20"/>
  <c r="AN24" i="20"/>
  <c r="AO24" i="20"/>
  <c r="AX24" i="20"/>
  <c r="AY24" i="20"/>
  <c r="AZ24" i="20"/>
  <c r="BA24" i="20"/>
  <c r="BB24" i="20"/>
  <c r="BC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AP39" i="20"/>
  <c r="AQ39" i="20"/>
  <c r="AR39" i="20"/>
  <c r="AS39" i="20"/>
  <c r="AT39" i="20"/>
  <c r="AU39" i="20"/>
  <c r="AP40" i="20"/>
  <c r="AQ40" i="20"/>
  <c r="AR40" i="20"/>
  <c r="AS40" i="20"/>
  <c r="AT40" i="20"/>
  <c r="AU40" i="20"/>
  <c r="AP41" i="20"/>
  <c r="AQ41" i="20"/>
  <c r="AR41" i="20"/>
  <c r="AS41" i="20"/>
  <c r="AT41" i="20"/>
  <c r="AU41" i="20"/>
  <c r="AP42" i="20"/>
  <c r="AQ42" i="20"/>
  <c r="AR42" i="20"/>
  <c r="AS42" i="20"/>
  <c r="AT42" i="20"/>
  <c r="AU42" i="20"/>
  <c r="AP43" i="20"/>
  <c r="AQ43" i="20"/>
  <c r="AR43" i="20"/>
  <c r="AS43" i="20"/>
  <c r="AT43" i="20"/>
  <c r="AU43" i="20"/>
  <c r="AP44" i="20"/>
  <c r="AQ44" i="20"/>
  <c r="AR44" i="20"/>
  <c r="AS44" i="20"/>
  <c r="AT44" i="20"/>
  <c r="AU44" i="20"/>
  <c r="AP45" i="20"/>
  <c r="AQ45" i="20"/>
  <c r="AR45" i="20"/>
  <c r="AS45" i="20"/>
  <c r="AT45" i="20"/>
  <c r="AU45" i="20"/>
  <c r="AP46" i="20"/>
  <c r="AQ46" i="20"/>
  <c r="AR46" i="20"/>
  <c r="AS46" i="20"/>
  <c r="AT46" i="20"/>
  <c r="AU46" i="20"/>
  <c r="AV46" i="20"/>
  <c r="AW46" i="20"/>
  <c r="AP47" i="20"/>
  <c r="AQ47" i="20"/>
  <c r="AR47" i="20"/>
  <c r="AS47" i="20"/>
  <c r="AT47" i="20"/>
  <c r="AU47" i="20"/>
  <c r="AV47" i="20"/>
  <c r="AW47" i="20"/>
  <c r="AP48" i="20"/>
  <c r="AQ48" i="20"/>
  <c r="AR48" i="20"/>
  <c r="AS48" i="20"/>
  <c r="AT48" i="20"/>
  <c r="AU48" i="20"/>
  <c r="AV48" i="20"/>
  <c r="AW48" i="20"/>
  <c r="AP49" i="20"/>
  <c r="AQ49" i="20"/>
  <c r="AR49" i="20"/>
  <c r="AS49" i="20"/>
  <c r="AT49" i="20"/>
  <c r="AU49" i="20"/>
  <c r="AV49" i="20"/>
  <c r="AW49" i="20"/>
  <c r="AP50" i="20"/>
  <c r="AQ50" i="20"/>
  <c r="AR50" i="20"/>
  <c r="AS50" i="20"/>
  <c r="AT50" i="20"/>
  <c r="AU50" i="20"/>
  <c r="AV50" i="20"/>
  <c r="AW50" i="20"/>
  <c r="AP51" i="20"/>
  <c r="AQ51" i="20"/>
  <c r="AR51" i="20"/>
  <c r="AS51" i="20"/>
  <c r="AT51" i="20"/>
  <c r="AU51" i="20"/>
  <c r="AV51" i="20"/>
  <c r="AW51" i="20"/>
  <c r="AP52" i="20"/>
  <c r="AQ52" i="20"/>
  <c r="AR52" i="20"/>
  <c r="AS52" i="20"/>
  <c r="AT52" i="20"/>
  <c r="AU52" i="20"/>
  <c r="AV52" i="20"/>
  <c r="AW52" i="20"/>
  <c r="AB53" i="20"/>
  <c r="AC53" i="20"/>
  <c r="AB54" i="20"/>
  <c r="AC54" i="20"/>
  <c r="AB55" i="20"/>
  <c r="AC55" i="20"/>
  <c r="AB56" i="20"/>
  <c r="AC56" i="20"/>
  <c r="AB57" i="20"/>
  <c r="AC57" i="20"/>
  <c r="AB58" i="20"/>
  <c r="AC58" i="20"/>
  <c r="AB59" i="20"/>
  <c r="AC59" i="20"/>
  <c r="AB60" i="20"/>
  <c r="AC60" i="20"/>
  <c r="AB61" i="20"/>
  <c r="AC61" i="20"/>
  <c r="AB62" i="20"/>
  <c r="AC62" i="20"/>
  <c r="AD63" i="20"/>
  <c r="AE63" i="20"/>
  <c r="AD64" i="20"/>
  <c r="AE64" i="20"/>
  <c r="AD65" i="20"/>
  <c r="AE65" i="20"/>
  <c r="AD66" i="20"/>
  <c r="AE66" i="20"/>
  <c r="AD67" i="20"/>
  <c r="AE67" i="20"/>
  <c r="AD68" i="20"/>
  <c r="AE68" i="20"/>
  <c r="AD69" i="20"/>
  <c r="AE69" i="20"/>
  <c r="AD70" i="20"/>
  <c r="AE70" i="20"/>
  <c r="AD71" i="20"/>
  <c r="AE71" i="20"/>
  <c r="AD72" i="20"/>
  <c r="AE72" i="20"/>
  <c r="AD73" i="20"/>
  <c r="AE73" i="20"/>
  <c r="AD74" i="20"/>
  <c r="AE74" i="20"/>
  <c r="AD75" i="20"/>
  <c r="AE75" i="20"/>
  <c r="AD76" i="20"/>
  <c r="AE76" i="20"/>
  <c r="I84" i="20"/>
  <c r="I85" i="20"/>
  <c r="I86" i="20"/>
  <c r="I87" i="20"/>
  <c r="I88" i="20"/>
  <c r="J88" i="20"/>
  <c r="K88" i="20"/>
  <c r="L88" i="20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F88" i="20"/>
  <c r="AG88" i="20"/>
  <c r="AH88" i="20"/>
  <c r="AI88" i="20"/>
  <c r="AJ88" i="20"/>
  <c r="AK88" i="20"/>
  <c r="AL88" i="20"/>
  <c r="AM88" i="20"/>
  <c r="AN88" i="20"/>
  <c r="AO88" i="20"/>
  <c r="AX88" i="20"/>
  <c r="AY88" i="20"/>
  <c r="AZ88" i="20"/>
  <c r="BA88" i="20"/>
  <c r="BB88" i="20"/>
  <c r="BC88" i="20"/>
  <c r="I89" i="20"/>
  <c r="J89" i="20"/>
  <c r="K89" i="20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F89" i="20"/>
  <c r="AG89" i="20"/>
  <c r="AH89" i="20"/>
  <c r="AI89" i="20"/>
  <c r="AJ89" i="20"/>
  <c r="AK89" i="20"/>
  <c r="AL89" i="20"/>
  <c r="AM89" i="20"/>
  <c r="AN89" i="20"/>
  <c r="AO89" i="20"/>
  <c r="AX89" i="20"/>
  <c r="AY89" i="20"/>
  <c r="AZ89" i="20"/>
  <c r="BA89" i="20"/>
  <c r="BB89" i="20"/>
  <c r="BC89" i="20"/>
  <c r="I90" i="20"/>
  <c r="J90" i="20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F90" i="20"/>
  <c r="AG90" i="20"/>
  <c r="AH90" i="20"/>
  <c r="AI90" i="20"/>
  <c r="AJ90" i="20"/>
  <c r="AK90" i="20"/>
  <c r="AL90" i="20"/>
  <c r="AM90" i="20"/>
  <c r="AN90" i="20"/>
  <c r="AO90" i="20"/>
  <c r="AX90" i="20"/>
  <c r="AY90" i="20"/>
  <c r="AZ90" i="20"/>
  <c r="BA90" i="20"/>
  <c r="BB90" i="20"/>
  <c r="BC90" i="20"/>
  <c r="I91" i="20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F91" i="20"/>
  <c r="AG91" i="20"/>
  <c r="AH91" i="20"/>
  <c r="AI91" i="20"/>
  <c r="AJ91" i="20"/>
  <c r="AK91" i="20"/>
  <c r="AL91" i="20"/>
  <c r="AM91" i="20"/>
  <c r="AN91" i="20"/>
  <c r="AO91" i="20"/>
  <c r="AX91" i="20"/>
  <c r="AY91" i="20"/>
  <c r="AZ91" i="20"/>
  <c r="BA91" i="20"/>
  <c r="BB91" i="20"/>
  <c r="BC91" i="20"/>
  <c r="AP92" i="20"/>
  <c r="AQ92" i="20"/>
  <c r="AR92" i="20"/>
  <c r="AS92" i="20"/>
  <c r="AT92" i="20"/>
  <c r="AU92" i="20"/>
  <c r="AP93" i="20"/>
  <c r="AQ93" i="20"/>
  <c r="AR93" i="20"/>
  <c r="AS93" i="20"/>
  <c r="AT93" i="20"/>
  <c r="AU93" i="20"/>
  <c r="AP94" i="20"/>
  <c r="AQ94" i="20"/>
  <c r="AR94" i="20"/>
  <c r="AS94" i="20"/>
  <c r="AT94" i="20"/>
  <c r="AU94" i="20"/>
  <c r="AV94" i="20"/>
  <c r="AW94" i="20"/>
  <c r="AP95" i="20"/>
  <c r="AQ95" i="20"/>
  <c r="AR95" i="20"/>
  <c r="AS95" i="20"/>
  <c r="AT95" i="20"/>
  <c r="AU95" i="20"/>
  <c r="AV95" i="20"/>
  <c r="AW95" i="20"/>
  <c r="I96" i="20"/>
  <c r="I97" i="20"/>
  <c r="I98" i="20"/>
  <c r="I99" i="20"/>
  <c r="I137" i="11" l="1"/>
  <c r="I138" i="11"/>
  <c r="I139" i="11"/>
  <c r="I140" i="11"/>
  <c r="I141" i="11"/>
  <c r="I142" i="11"/>
  <c r="I143" i="11"/>
  <c r="I144" i="11"/>
  <c r="I145" i="11"/>
  <c r="I146" i="11"/>
  <c r="J21" i="8" l="1"/>
  <c r="I21" i="8"/>
  <c r="J20" i="8"/>
  <c r="I20" i="8"/>
  <c r="J19" i="8"/>
  <c r="I19" i="8"/>
  <c r="J18" i="8"/>
  <c r="I18" i="8"/>
  <c r="J17" i="8"/>
  <c r="I17" i="8"/>
  <c r="J16" i="8"/>
  <c r="I16" i="8"/>
  <c r="J15" i="8"/>
  <c r="I15" i="8"/>
  <c r="J14" i="8"/>
  <c r="I14" i="8"/>
  <c r="J13" i="8"/>
  <c r="I13" i="8"/>
  <c r="J12" i="8"/>
  <c r="I12" i="8"/>
  <c r="J11" i="8"/>
  <c r="I11" i="8"/>
  <c r="J10" i="8"/>
  <c r="I10" i="8"/>
  <c r="J9" i="8"/>
  <c r="I9" i="8"/>
  <c r="J8" i="8"/>
  <c r="I8" i="8"/>
  <c r="J7" i="8"/>
  <c r="I7" i="8"/>
  <c r="J6" i="8"/>
  <c r="I6" i="8"/>
  <c r="J5" i="8"/>
  <c r="I5" i="8"/>
  <c r="J4" i="8"/>
  <c r="I4" i="8"/>
  <c r="J21" i="7"/>
  <c r="I21" i="7"/>
  <c r="J20" i="7"/>
  <c r="I20" i="7"/>
  <c r="J19" i="7"/>
  <c r="I19" i="7"/>
  <c r="J18" i="7"/>
  <c r="I18" i="7"/>
  <c r="J17" i="7"/>
  <c r="I17" i="7"/>
  <c r="J16" i="7"/>
  <c r="I16" i="7"/>
  <c r="J15" i="7"/>
  <c r="I15" i="7"/>
  <c r="J14" i="7"/>
  <c r="I14" i="7"/>
  <c r="J13" i="7"/>
  <c r="I13" i="7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J5" i="7"/>
  <c r="I5" i="7"/>
  <c r="J4" i="7"/>
  <c r="I4" i="7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4" i="6"/>
  <c r="I14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J5" i="6"/>
  <c r="I5" i="6"/>
  <c r="J4" i="6"/>
  <c r="I4" i="6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I4" i="4"/>
  <c r="J4" i="4"/>
  <c r="I5" i="4"/>
  <c r="J5" i="4"/>
  <c r="I6" i="4"/>
  <c r="J6" i="4"/>
  <c r="I7" i="4"/>
  <c r="J7" i="4"/>
  <c r="I8" i="4"/>
  <c r="J8" i="4"/>
  <c r="I9" i="4"/>
  <c r="J9" i="4"/>
  <c r="I10" i="4"/>
  <c r="J10" i="4"/>
  <c r="I11" i="4"/>
  <c r="J11" i="4"/>
  <c r="I12" i="4"/>
  <c r="J12" i="4"/>
  <c r="I13" i="4"/>
  <c r="J13" i="4"/>
  <c r="I14" i="4"/>
  <c r="J14" i="4"/>
  <c r="I15" i="4"/>
  <c r="J15" i="4"/>
  <c r="I16" i="4"/>
  <c r="J16" i="4"/>
  <c r="I17" i="4"/>
  <c r="J17" i="4"/>
  <c r="I18" i="4"/>
  <c r="J18" i="4"/>
  <c r="I19" i="4"/>
  <c r="J19" i="4"/>
  <c r="I20" i="4"/>
  <c r="J20" i="4"/>
  <c r="I21" i="4"/>
  <c r="J21" i="4"/>
  <c r="B3" i="15"/>
  <c r="B3" i="39"/>
  <c r="A3" i="13"/>
  <c r="A3" i="39"/>
  <c r="B3" i="30"/>
  <c r="B3" i="35"/>
  <c r="B3" i="5"/>
  <c r="B3" i="34"/>
  <c r="B3" i="40"/>
  <c r="B3" i="75"/>
  <c r="A3" i="34"/>
  <c r="B3" i="18"/>
  <c r="B3" i="21"/>
  <c r="B3" i="36"/>
  <c r="A3" i="16"/>
  <c r="A3" i="78"/>
  <c r="A3" i="7"/>
  <c r="A3" i="19"/>
  <c r="A3" i="14"/>
  <c r="A3" i="8"/>
  <c r="A3" i="6"/>
  <c r="B3" i="6"/>
  <c r="A3" i="4"/>
  <c r="A3" i="25"/>
  <c r="A3" i="21"/>
  <c r="B3" i="77"/>
  <c r="A3" i="38"/>
  <c r="B3" i="16"/>
  <c r="B3" i="79"/>
  <c r="B3" i="12"/>
  <c r="A3" i="37"/>
  <c r="A3" i="76"/>
  <c r="B3" i="27"/>
  <c r="A3" i="31"/>
  <c r="A3" i="12"/>
  <c r="A3" i="35"/>
  <c r="A3" i="74"/>
  <c r="A3" i="75"/>
  <c r="B3" i="25"/>
  <c r="B3" i="78"/>
  <c r="B3" i="4"/>
  <c r="A3" i="40"/>
  <c r="A3" i="77"/>
  <c r="A3" i="36"/>
  <c r="B3" i="28"/>
  <c r="A3" i="24"/>
  <c r="B3" i="7"/>
  <c r="A3" i="33"/>
  <c r="B3" i="24"/>
  <c r="B3" i="74"/>
  <c r="B3" i="14"/>
  <c r="B3" i="19"/>
  <c r="B3" i="33"/>
  <c r="A3" i="27"/>
  <c r="B3" i="76"/>
  <c r="B3" i="31"/>
  <c r="A3" i="17"/>
  <c r="A3" i="18"/>
  <c r="B3" i="29"/>
  <c r="A3" i="30"/>
  <c r="B3" i="38"/>
  <c r="A3" i="79"/>
  <c r="B3" i="17"/>
  <c r="A3" i="29"/>
  <c r="A3" i="5"/>
  <c r="A3" i="15"/>
  <c r="B3" i="37"/>
  <c r="B3" i="13"/>
  <c r="A3" i="28"/>
  <c r="B3" i="8"/>
</calcChain>
</file>

<file path=xl/sharedStrings.xml><?xml version="1.0" encoding="utf-8"?>
<sst xmlns="http://schemas.openxmlformats.org/spreadsheetml/2006/main" count="6067" uniqueCount="786">
  <si>
    <t>Static Hydraulic Core</t>
  </si>
  <si>
    <t>Hydraulic Coupling</t>
  </si>
  <si>
    <t>Chemical Injection Coupling</t>
  </si>
  <si>
    <t>Static Chemical Core</t>
  </si>
  <si>
    <t>Shuttle Valve</t>
  </si>
  <si>
    <t>Power/Signal Coupling</t>
  </si>
  <si>
    <t>Static Electric Core</t>
  </si>
  <si>
    <t>D2-CH-CLOSE</t>
  </si>
  <si>
    <t>D6</t>
  </si>
  <si>
    <t>D8-CH-OPEN</t>
  </si>
  <si>
    <t>CB4</t>
  </si>
  <si>
    <t>SV2</t>
  </si>
  <si>
    <t>CB3</t>
  </si>
  <si>
    <t>SV1</t>
  </si>
  <si>
    <t>PB2</t>
  </si>
  <si>
    <t>D8</t>
  </si>
  <si>
    <t>PB1</t>
  </si>
  <si>
    <t>D7</t>
  </si>
  <si>
    <t>D5</t>
  </si>
  <si>
    <t>CA4</t>
  </si>
  <si>
    <t>CA3</t>
  </si>
  <si>
    <t>D4</t>
  </si>
  <si>
    <t>PA2</t>
  </si>
  <si>
    <t>D3</t>
  </si>
  <si>
    <t>PA1</t>
  </si>
  <si>
    <t>D2</t>
  </si>
  <si>
    <t>D1</t>
  </si>
  <si>
    <t>PHV</t>
  </si>
  <si>
    <t>THV</t>
  </si>
  <si>
    <t>WAX</t>
  </si>
  <si>
    <t>LPB</t>
  </si>
  <si>
    <t>HFMETH</t>
  </si>
  <si>
    <t>LPA</t>
  </si>
  <si>
    <t>CISI</t>
  </si>
  <si>
    <t>HPB</t>
  </si>
  <si>
    <t>LFMETH</t>
  </si>
  <si>
    <t>HPA</t>
  </si>
  <si>
    <t>P110</t>
  </si>
  <si>
    <t>CSA11</t>
  </si>
  <si>
    <t>Additional name / ref (optional)</t>
  </si>
  <si>
    <t>Sub Component(s) to include</t>
  </si>
  <si>
    <t>UniqueID
(if applicable)</t>
  </si>
  <si>
    <t>Service Type</t>
  </si>
  <si>
    <t>P110-D2-CH-CLOSE</t>
  </si>
  <si>
    <t>P110-D8-CH-OPEN</t>
  </si>
  <si>
    <t>P110-D6</t>
  </si>
  <si>
    <t>P110-D5</t>
  </si>
  <si>
    <t>P110-D4</t>
  </si>
  <si>
    <t>P110-D3</t>
  </si>
  <si>
    <t>P110-D2</t>
  </si>
  <si>
    <t>P110-D1</t>
  </si>
  <si>
    <t>P18-D2-CH-CLOSE</t>
  </si>
  <si>
    <t>P18-D8-CH-OPEN</t>
  </si>
  <si>
    <t>P18-D8</t>
  </si>
  <si>
    <t>P18-D7</t>
  </si>
  <si>
    <t>P18-D6</t>
  </si>
  <si>
    <t>P18-D5</t>
  </si>
  <si>
    <t>P18-D4</t>
  </si>
  <si>
    <t>P18-D3</t>
  </si>
  <si>
    <t>P18-D2</t>
  </si>
  <si>
    <t>P18-D1</t>
  </si>
  <si>
    <t>EJBB</t>
  </si>
  <si>
    <t>Subsea Distribution Module</t>
  </si>
  <si>
    <t>EJBA</t>
  </si>
  <si>
    <t>Hydraulic piping</t>
  </si>
  <si>
    <t>PV8D</t>
  </si>
  <si>
    <t>ROV Activated Valve</t>
  </si>
  <si>
    <t>PV8E</t>
  </si>
  <si>
    <t>PV8B</t>
  </si>
  <si>
    <t>GIV7</t>
  </si>
  <si>
    <t>GVV7</t>
  </si>
  <si>
    <t>Check Valve</t>
  </si>
  <si>
    <t>PV7D</t>
  </si>
  <si>
    <t>PV7E</t>
  </si>
  <si>
    <t>PV7B</t>
  </si>
  <si>
    <t>PV6D</t>
  </si>
  <si>
    <t>PV6E</t>
  </si>
  <si>
    <t>PV6B</t>
  </si>
  <si>
    <t>GIV5</t>
  </si>
  <si>
    <t>GVV5</t>
  </si>
  <si>
    <t>PV5D</t>
  </si>
  <si>
    <t>PV5E</t>
  </si>
  <si>
    <t>PV5B</t>
  </si>
  <si>
    <t>PV4B</t>
  </si>
  <si>
    <t>PV4E</t>
  </si>
  <si>
    <t>PV4D</t>
  </si>
  <si>
    <t>GVV3</t>
  </si>
  <si>
    <t>GIV3</t>
  </si>
  <si>
    <t>PV3B</t>
  </si>
  <si>
    <t>PV3E</t>
  </si>
  <si>
    <t>PV3D</t>
  </si>
  <si>
    <t>PV2B</t>
  </si>
  <si>
    <t>PV2E</t>
  </si>
  <si>
    <t>PV2D</t>
  </si>
  <si>
    <t>GVV1</t>
  </si>
  <si>
    <t>GIV1</t>
  </si>
  <si>
    <t>PV1B</t>
  </si>
  <si>
    <t>PV1E</t>
  </si>
  <si>
    <t>PV1D</t>
  </si>
  <si>
    <t>5402H</t>
  </si>
  <si>
    <t>Actuated Process Valve</t>
  </si>
  <si>
    <t>5401H</t>
  </si>
  <si>
    <t>5402G</t>
  </si>
  <si>
    <t>5401G</t>
  </si>
  <si>
    <t>5402F</t>
  </si>
  <si>
    <t>5401F</t>
  </si>
  <si>
    <t>5402E</t>
  </si>
  <si>
    <t>5401E</t>
  </si>
  <si>
    <t>5402D</t>
  </si>
  <si>
    <t>5401D</t>
  </si>
  <si>
    <t>5402C</t>
  </si>
  <si>
    <t>5401C</t>
  </si>
  <si>
    <t>5402B</t>
  </si>
  <si>
    <t>5401B</t>
  </si>
  <si>
    <t>5402A</t>
  </si>
  <si>
    <t>5401A</t>
  </si>
  <si>
    <t>PPIV</t>
  </si>
  <si>
    <t>TPIV</t>
  </si>
  <si>
    <t>TVV</t>
  </si>
  <si>
    <t>PHS</t>
  </si>
  <si>
    <t>Hot Stab</t>
  </si>
  <si>
    <t>THS</t>
  </si>
  <si>
    <t>NVP7</t>
  </si>
  <si>
    <t>NVP8</t>
  </si>
  <si>
    <t>NVT8</t>
  </si>
  <si>
    <t>NVT7</t>
  </si>
  <si>
    <t>NV7B</t>
  </si>
  <si>
    <t>NV7A</t>
  </si>
  <si>
    <t>NV5A</t>
  </si>
  <si>
    <t>NV5B</t>
  </si>
  <si>
    <t>NV3B</t>
  </si>
  <si>
    <t>NV3A</t>
  </si>
  <si>
    <t>NV1B</t>
  </si>
  <si>
    <t>NV1A</t>
  </si>
  <si>
    <t>EV</t>
  </si>
  <si>
    <t>MIV3</t>
  </si>
  <si>
    <t>VIV2</t>
  </si>
  <si>
    <t>AVV</t>
  </si>
  <si>
    <t>MIV2</t>
  </si>
  <si>
    <t>MIV1</t>
  </si>
  <si>
    <t>NVP10</t>
  </si>
  <si>
    <t>NVP9</t>
  </si>
  <si>
    <t>NVP6</t>
  </si>
  <si>
    <t>NVP5</t>
  </si>
  <si>
    <t>NVP4</t>
  </si>
  <si>
    <t>NVP3</t>
  </si>
  <si>
    <t>NVP2</t>
  </si>
  <si>
    <t>NVP1</t>
  </si>
  <si>
    <t>NVT10</t>
  </si>
  <si>
    <t>NVT9</t>
  </si>
  <si>
    <t>NVT6</t>
  </si>
  <si>
    <t>NVT5</t>
  </si>
  <si>
    <t>NVT4</t>
  </si>
  <si>
    <t>NVT3</t>
  </si>
  <si>
    <t>NVT2</t>
  </si>
  <si>
    <t>NVT1</t>
  </si>
  <si>
    <t>P17-D8</t>
  </si>
  <si>
    <t>P17-D7</t>
  </si>
  <si>
    <t>P17-D5</t>
  </si>
  <si>
    <t>P17-D2</t>
  </si>
  <si>
    <t>P16-D8</t>
  </si>
  <si>
    <t>P16-D7</t>
  </si>
  <si>
    <t>P16-D5</t>
  </si>
  <si>
    <t>P16-D2</t>
  </si>
  <si>
    <t>P15-D8</t>
  </si>
  <si>
    <t>P15-D7</t>
  </si>
  <si>
    <t>P15-D5</t>
  </si>
  <si>
    <t>P15-D2</t>
  </si>
  <si>
    <t>P14-D8</t>
  </si>
  <si>
    <t>P14-D7</t>
  </si>
  <si>
    <t>P14-D5</t>
  </si>
  <si>
    <t>P14-D2</t>
  </si>
  <si>
    <t>P13-D8</t>
  </si>
  <si>
    <t>P13-D7</t>
  </si>
  <si>
    <t>P13-D5</t>
  </si>
  <si>
    <t>P13-D2</t>
  </si>
  <si>
    <t>P12-D8</t>
  </si>
  <si>
    <t>P12-D7</t>
  </si>
  <si>
    <t>P12-D5</t>
  </si>
  <si>
    <t>P12-D2</t>
  </si>
  <si>
    <t>P11-D8</t>
  </si>
  <si>
    <t>P11-D7</t>
  </si>
  <si>
    <t>P11-D5</t>
  </si>
  <si>
    <t>PVO</t>
  </si>
  <si>
    <t>P11-D2</t>
  </si>
  <si>
    <t>PVC</t>
  </si>
  <si>
    <t>H</t>
  </si>
  <si>
    <t>P18</t>
  </si>
  <si>
    <t>HYDRAULIC</t>
  </si>
  <si>
    <t>CV14</t>
  </si>
  <si>
    <t>CV13</t>
  </si>
  <si>
    <t>CV12</t>
  </si>
  <si>
    <t>CV11</t>
  </si>
  <si>
    <t>CV10</t>
  </si>
  <si>
    <t>CV9</t>
  </si>
  <si>
    <t>CV8</t>
  </si>
  <si>
    <t>CV7</t>
  </si>
  <si>
    <t>CV6</t>
  </si>
  <si>
    <t>CV5</t>
  </si>
  <si>
    <t>CV4</t>
  </si>
  <si>
    <t>CV3</t>
  </si>
  <si>
    <t>CV2</t>
  </si>
  <si>
    <t>CV1</t>
  </si>
  <si>
    <t>S-D9</t>
  </si>
  <si>
    <t>S-D8</t>
  </si>
  <si>
    <t>S-D7</t>
  </si>
  <si>
    <t>S-D6</t>
  </si>
  <si>
    <t>S-D5</t>
  </si>
  <si>
    <t>S-D4</t>
  </si>
  <si>
    <t>S-D3</t>
  </si>
  <si>
    <t>S-D2</t>
  </si>
  <si>
    <t>S-D1</t>
  </si>
  <si>
    <t>CV8A</t>
  </si>
  <si>
    <t>CV8C</t>
  </si>
  <si>
    <t>CV8D</t>
  </si>
  <si>
    <t>CV8B</t>
  </si>
  <si>
    <t>CV7A</t>
  </si>
  <si>
    <t>CV7C</t>
  </si>
  <si>
    <t>CV7D</t>
  </si>
  <si>
    <t>CV7B</t>
  </si>
  <si>
    <t>P17-D3</t>
  </si>
  <si>
    <t>P17-D4</t>
  </si>
  <si>
    <t>P17-D1</t>
  </si>
  <si>
    <t>P17-D6</t>
  </si>
  <si>
    <t>CV6A</t>
  </si>
  <si>
    <t>CV6C</t>
  </si>
  <si>
    <t>CV6D</t>
  </si>
  <si>
    <t>CV6B</t>
  </si>
  <si>
    <t>P16-D3</t>
  </si>
  <si>
    <t>P16-D4</t>
  </si>
  <si>
    <t>P16-D1</t>
  </si>
  <si>
    <t>P16-D6</t>
  </si>
  <si>
    <t>CV5A</t>
  </si>
  <si>
    <t>CV5C</t>
  </si>
  <si>
    <t>CV5D</t>
  </si>
  <si>
    <t>CV5B</t>
  </si>
  <si>
    <t>P15-D3</t>
  </si>
  <si>
    <t>P15-D4</t>
  </si>
  <si>
    <t>P15-D1</t>
  </si>
  <si>
    <t>P15-D6</t>
  </si>
  <si>
    <t>CV4A</t>
  </si>
  <si>
    <t>CV4C</t>
  </si>
  <si>
    <t>CV4D</t>
  </si>
  <si>
    <t>CV4B</t>
  </si>
  <si>
    <t>D9</t>
  </si>
  <si>
    <t>CV3A</t>
  </si>
  <si>
    <t>CV3C</t>
  </si>
  <si>
    <t>CV3D</t>
  </si>
  <si>
    <t>CV3B</t>
  </si>
  <si>
    <t>P13-D3</t>
  </si>
  <si>
    <t>P13-D4</t>
  </si>
  <si>
    <t>P13-D1</t>
  </si>
  <si>
    <t>P13-D6</t>
  </si>
  <si>
    <t>SPARE2</t>
  </si>
  <si>
    <t>SPARECISI</t>
  </si>
  <si>
    <t>SPAREWAX</t>
  </si>
  <si>
    <t>CV2A</t>
  </si>
  <si>
    <t>CV2C</t>
  </si>
  <si>
    <t>SPARE1</t>
  </si>
  <si>
    <t>CV2D</t>
  </si>
  <si>
    <t>HFMETH2</t>
  </si>
  <si>
    <t>CV2B</t>
  </si>
  <si>
    <t>HFMETH1</t>
  </si>
  <si>
    <t>P12-D3</t>
  </si>
  <si>
    <t>SPAREMETH</t>
  </si>
  <si>
    <t>P12-D4</t>
  </si>
  <si>
    <t>P12-D1</t>
  </si>
  <si>
    <t>P12-D6</t>
  </si>
  <si>
    <t>S</t>
  </si>
  <si>
    <t>C</t>
  </si>
  <si>
    <t>D</t>
  </si>
  <si>
    <t>CV1A</t>
  </si>
  <si>
    <t>CV1C</t>
  </si>
  <si>
    <t>CV1D</t>
  </si>
  <si>
    <t>CV1B</t>
  </si>
  <si>
    <t>P11-D3</t>
  </si>
  <si>
    <t>P11-D4</t>
  </si>
  <si>
    <t>P11-D1</t>
  </si>
  <si>
    <t>P11-D6</t>
  </si>
  <si>
    <t>Chemical Injection Piping</t>
  </si>
  <si>
    <t>M1</t>
  </si>
  <si>
    <t>W15-D1</t>
  </si>
  <si>
    <t>W15-D2</t>
  </si>
  <si>
    <t>W15-D3</t>
  </si>
  <si>
    <t>W15-D4</t>
  </si>
  <si>
    <t>W15-D5</t>
  </si>
  <si>
    <t>W15-D6</t>
  </si>
  <si>
    <t>SUT1R-D1</t>
  </si>
  <si>
    <t>SUT1R-D2</t>
  </si>
  <si>
    <t>SUT1R-D3</t>
  </si>
  <si>
    <t>SUT1R-D4</t>
  </si>
  <si>
    <t>SUT1R-D5</t>
  </si>
  <si>
    <t>SUT1R-D6</t>
  </si>
  <si>
    <t>M1-D1</t>
  </si>
  <si>
    <t>M1-D2</t>
  </si>
  <si>
    <t>M1-D3</t>
  </si>
  <si>
    <t>M1-D4</t>
  </si>
  <si>
    <t>M1-D5</t>
  </si>
  <si>
    <t>M1-D6</t>
  </si>
  <si>
    <t>M1-D7</t>
  </si>
  <si>
    <t>M1-D8</t>
  </si>
  <si>
    <t>M1-SV1</t>
  </si>
  <si>
    <t>M1-SV2</t>
  </si>
  <si>
    <t>P19-D6</t>
  </si>
  <si>
    <t>P19-D1</t>
  </si>
  <si>
    <t>P19-D4</t>
  </si>
  <si>
    <t>P19-D3</t>
  </si>
  <si>
    <t>S-D10</t>
  </si>
  <si>
    <t>SCM-D6</t>
  </si>
  <si>
    <t>SCM-D5</t>
  </si>
  <si>
    <t>23-D6</t>
  </si>
  <si>
    <t>23-D5</t>
  </si>
  <si>
    <t>22-D6</t>
  </si>
  <si>
    <t>22-D5</t>
  </si>
  <si>
    <t>21-D7</t>
  </si>
  <si>
    <t>21-D6</t>
  </si>
  <si>
    <t>20-D7</t>
  </si>
  <si>
    <t>20-D6</t>
  </si>
  <si>
    <t>19-D7</t>
  </si>
  <si>
    <t>19-D6</t>
  </si>
  <si>
    <t>18-D7</t>
  </si>
  <si>
    <t>18-D6</t>
  </si>
  <si>
    <t>17-D6</t>
  </si>
  <si>
    <t>17-D5</t>
  </si>
  <si>
    <t>16-D6</t>
  </si>
  <si>
    <t>16-D5</t>
  </si>
  <si>
    <t>15-D6</t>
  </si>
  <si>
    <t>15-D5</t>
  </si>
  <si>
    <t>14-D6</t>
  </si>
  <si>
    <t>14-D5</t>
  </si>
  <si>
    <t>13-D6</t>
  </si>
  <si>
    <t>13-D5</t>
  </si>
  <si>
    <t>10-D6</t>
  </si>
  <si>
    <t>10-D5</t>
  </si>
  <si>
    <t>9-D6</t>
  </si>
  <si>
    <t>9-D5</t>
  </si>
  <si>
    <t>8-D6</t>
  </si>
  <si>
    <t>8-D5</t>
  </si>
  <si>
    <t>7-D6</t>
  </si>
  <si>
    <t>7-D5</t>
  </si>
  <si>
    <t>6-D6</t>
  </si>
  <si>
    <t>6-D5</t>
  </si>
  <si>
    <t>5-D6</t>
  </si>
  <si>
    <t>5-D5</t>
  </si>
  <si>
    <t>4-D6</t>
  </si>
  <si>
    <t>4-D5</t>
  </si>
  <si>
    <t>3-D6</t>
  </si>
  <si>
    <t>3-D5</t>
  </si>
  <si>
    <t>2-D6</t>
  </si>
  <si>
    <t>2-D5</t>
  </si>
  <si>
    <t>1-D6</t>
  </si>
  <si>
    <t>1-D5</t>
  </si>
  <si>
    <t>SIG2</t>
  </si>
  <si>
    <t>PWR2</t>
  </si>
  <si>
    <t>SIG1</t>
  </si>
  <si>
    <t>PWR1</t>
  </si>
  <si>
    <t>Electric Flying Lead</t>
  </si>
  <si>
    <t>SCM-D4</t>
  </si>
  <si>
    <t>SCM-D3</t>
  </si>
  <si>
    <t>SCM-D2</t>
  </si>
  <si>
    <t>SCM-D1</t>
  </si>
  <si>
    <t>23-D4</t>
  </si>
  <si>
    <t>23-D3</t>
  </si>
  <si>
    <t>23-D2</t>
  </si>
  <si>
    <t>23-D1</t>
  </si>
  <si>
    <t>22-D4</t>
  </si>
  <si>
    <t>22-D3</t>
  </si>
  <si>
    <t>22-D2</t>
  </si>
  <si>
    <t>22-D1</t>
  </si>
  <si>
    <t>21-D5</t>
  </si>
  <si>
    <t>21-D4</t>
  </si>
  <si>
    <t>21-D3</t>
  </si>
  <si>
    <t>21-D2</t>
  </si>
  <si>
    <t>21-D1</t>
  </si>
  <si>
    <t>20-D5</t>
  </si>
  <si>
    <t>20-D4</t>
  </si>
  <si>
    <t>20-D3</t>
  </si>
  <si>
    <t>20-D2</t>
  </si>
  <si>
    <t>20-D1</t>
  </si>
  <si>
    <t>19-D5</t>
  </si>
  <si>
    <t>19-D4</t>
  </si>
  <si>
    <t>19-D3</t>
  </si>
  <si>
    <t>19-D2</t>
  </si>
  <si>
    <t>19-D1</t>
  </si>
  <si>
    <t>18-D5</t>
  </si>
  <si>
    <t>18-D4</t>
  </si>
  <si>
    <t>18-D3</t>
  </si>
  <si>
    <t>18-D2</t>
  </si>
  <si>
    <t>18-D1</t>
  </si>
  <si>
    <t>17-D4</t>
  </si>
  <si>
    <t>17-D3</t>
  </si>
  <si>
    <t>17-D2</t>
  </si>
  <si>
    <t>17-D1</t>
  </si>
  <si>
    <t>16-D4</t>
  </si>
  <si>
    <t>16-D3</t>
  </si>
  <si>
    <t>16-D2</t>
  </si>
  <si>
    <t>16-D1</t>
  </si>
  <si>
    <t>15-D4</t>
  </si>
  <si>
    <t>15-D3</t>
  </si>
  <si>
    <t>15-D2</t>
  </si>
  <si>
    <t>15-D1</t>
  </si>
  <si>
    <t>14-D4</t>
  </si>
  <si>
    <t>14-D3</t>
  </si>
  <si>
    <t>14-D2</t>
  </si>
  <si>
    <t>14-D1</t>
  </si>
  <si>
    <t>13-D4</t>
  </si>
  <si>
    <t>13-D3</t>
  </si>
  <si>
    <t>13-D2</t>
  </si>
  <si>
    <t>13-D1</t>
  </si>
  <si>
    <t>12-D14</t>
  </si>
  <si>
    <t>12-D13</t>
  </si>
  <si>
    <t>12-D12</t>
  </si>
  <si>
    <t>12-D11</t>
  </si>
  <si>
    <t>12-D10</t>
  </si>
  <si>
    <t>12-D9</t>
  </si>
  <si>
    <t>12-D8</t>
  </si>
  <si>
    <t>12-D7</t>
  </si>
  <si>
    <t>12-D6</t>
  </si>
  <si>
    <t>12-D5</t>
  </si>
  <si>
    <t>12-D4</t>
  </si>
  <si>
    <t>12-D3</t>
  </si>
  <si>
    <t>12-D2</t>
  </si>
  <si>
    <t>12-D1</t>
  </si>
  <si>
    <t>11-D10</t>
  </si>
  <si>
    <t>11-D9</t>
  </si>
  <si>
    <t>11-D8</t>
  </si>
  <si>
    <t>11-D7</t>
  </si>
  <si>
    <t>11-D6</t>
  </si>
  <si>
    <t>11-D5</t>
  </si>
  <si>
    <t>11-D4</t>
  </si>
  <si>
    <t>11-D3</t>
  </si>
  <si>
    <t>11-D2</t>
  </si>
  <si>
    <t>11-D1</t>
  </si>
  <si>
    <t>10-D4</t>
  </si>
  <si>
    <t>10-D3</t>
  </si>
  <si>
    <t>10-D2</t>
  </si>
  <si>
    <t>10-D1</t>
  </si>
  <si>
    <t>9-D4</t>
  </si>
  <si>
    <t>9-D3</t>
  </si>
  <si>
    <t>9-D2</t>
  </si>
  <si>
    <t>9-D1</t>
  </si>
  <si>
    <t>8-D4</t>
  </si>
  <si>
    <t>8-D3</t>
  </si>
  <si>
    <t>8-D2</t>
  </si>
  <si>
    <t>8-D1</t>
  </si>
  <si>
    <t>7-D4</t>
  </si>
  <si>
    <t>7-D3</t>
  </si>
  <si>
    <t>7-D2</t>
  </si>
  <si>
    <t>7-D1</t>
  </si>
  <si>
    <t>6-D4</t>
  </si>
  <si>
    <t>6-D3</t>
  </si>
  <si>
    <t>6-D2</t>
  </si>
  <si>
    <t>6-D1</t>
  </si>
  <si>
    <t>WIFLOW</t>
  </si>
  <si>
    <t>PRESSURE</t>
  </si>
  <si>
    <t>PCB</t>
  </si>
  <si>
    <t>PCA</t>
  </si>
  <si>
    <t>CB</t>
  </si>
  <si>
    <t>CA</t>
  </si>
  <si>
    <t>5-D4</t>
  </si>
  <si>
    <t>PB</t>
  </si>
  <si>
    <t>5-D3</t>
  </si>
  <si>
    <t>PA</t>
  </si>
  <si>
    <t>5-D2</t>
  </si>
  <si>
    <t>5-D1</t>
  </si>
  <si>
    <t>5-PB</t>
  </si>
  <si>
    <t>5-PA</t>
  </si>
  <si>
    <t>ELECTRICAL</t>
  </si>
  <si>
    <t>D14</t>
  </si>
  <si>
    <t>D13</t>
  </si>
  <si>
    <t>D12</t>
  </si>
  <si>
    <t>4-D4</t>
  </si>
  <si>
    <t>D11</t>
  </si>
  <si>
    <t>4-D3</t>
  </si>
  <si>
    <t>D10</t>
  </si>
  <si>
    <t>4-D2</t>
  </si>
  <si>
    <t>4-D1</t>
  </si>
  <si>
    <t>3-D4</t>
  </si>
  <si>
    <t>3-D3</t>
  </si>
  <si>
    <t>3-D2</t>
  </si>
  <si>
    <t>3-D1</t>
  </si>
  <si>
    <t>2-D4</t>
  </si>
  <si>
    <t>2-D3</t>
  </si>
  <si>
    <t>2-D2</t>
  </si>
  <si>
    <t>2-D1</t>
  </si>
  <si>
    <t>SCSSV</t>
  </si>
  <si>
    <t>XOV</t>
  </si>
  <si>
    <t>AMV</t>
  </si>
  <si>
    <t>PWV</t>
  </si>
  <si>
    <t>1-C10</t>
  </si>
  <si>
    <t>IMV</t>
  </si>
  <si>
    <t>1-C9</t>
  </si>
  <si>
    <t>C10</t>
  </si>
  <si>
    <t>1-C8</t>
  </si>
  <si>
    <t>C9</t>
  </si>
  <si>
    <t>1-C7</t>
  </si>
  <si>
    <t>C8</t>
  </si>
  <si>
    <t>1-C6</t>
  </si>
  <si>
    <t>C7</t>
  </si>
  <si>
    <t>1-C5</t>
  </si>
  <si>
    <t>C6</t>
  </si>
  <si>
    <t>1-C4</t>
  </si>
  <si>
    <t>C5</t>
  </si>
  <si>
    <t>1-C3</t>
  </si>
  <si>
    <t>C4</t>
  </si>
  <si>
    <t>1-C2</t>
  </si>
  <si>
    <t>C3</t>
  </si>
  <si>
    <t>1-C1</t>
  </si>
  <si>
    <t>C2</t>
  </si>
  <si>
    <t>C1</t>
  </si>
  <si>
    <t>1-D8</t>
  </si>
  <si>
    <t>1-D7</t>
  </si>
  <si>
    <t>1-D4</t>
  </si>
  <si>
    <t>1-D3</t>
  </si>
  <si>
    <t>1-D2</t>
  </si>
  <si>
    <t>1-D1</t>
  </si>
  <si>
    <t>SUT1R</t>
  </si>
  <si>
    <t>SCM</t>
  </si>
  <si>
    <t>PMV</t>
  </si>
  <si>
    <t>REDUA</t>
  </si>
  <si>
    <t>REDUB</t>
  </si>
  <si>
    <t>Subsea Accumulator</t>
  </si>
  <si>
    <t>Subsea Control Module (SCM)</t>
  </si>
  <si>
    <t>SAM</t>
  </si>
  <si>
    <t>AX</t>
  </si>
  <si>
    <t>TCT</t>
  </si>
  <si>
    <t>TCV</t>
  </si>
  <si>
    <t>B6</t>
  </si>
  <si>
    <t>B5</t>
  </si>
  <si>
    <t>B4</t>
  </si>
  <si>
    <t>B3</t>
  </si>
  <si>
    <t>B2</t>
  </si>
  <si>
    <t>B1</t>
  </si>
  <si>
    <t>V2</t>
  </si>
  <si>
    <t>V1</t>
  </si>
  <si>
    <t>TRSCSSV</t>
  </si>
  <si>
    <t>LPMV</t>
  </si>
  <si>
    <t>AT</t>
  </si>
  <si>
    <t>Acoustic Sand Detector</t>
  </si>
  <si>
    <t>ZTA</t>
  </si>
  <si>
    <t>ZT Position Indicator</t>
  </si>
  <si>
    <t>ZTP</t>
  </si>
  <si>
    <t>PT7B</t>
  </si>
  <si>
    <t>PT7A</t>
  </si>
  <si>
    <t>PT6B</t>
  </si>
  <si>
    <t>PT6A</t>
  </si>
  <si>
    <t>PTT5</t>
  </si>
  <si>
    <t>PTT4</t>
  </si>
  <si>
    <t>PTT3</t>
  </si>
  <si>
    <t>PTT2</t>
  </si>
  <si>
    <t>PTT1</t>
  </si>
  <si>
    <t>PDT2</t>
  </si>
  <si>
    <t>PTT (Hardware Integrity)</t>
  </si>
  <si>
    <t>PDT1</t>
  </si>
  <si>
    <t>FE2</t>
  </si>
  <si>
    <t>Flowmeter</t>
  </si>
  <si>
    <t>FE1</t>
  </si>
  <si>
    <t>FV</t>
  </si>
  <si>
    <t>CIV4</t>
  </si>
  <si>
    <t>CIV3</t>
  </si>
  <si>
    <t>CIV2</t>
  </si>
  <si>
    <t>CIV1</t>
  </si>
  <si>
    <t>ACV</t>
  </si>
  <si>
    <t>PCV</t>
  </si>
  <si>
    <t>ASV</t>
  </si>
  <si>
    <t>PSV</t>
  </si>
  <si>
    <t>AWV</t>
  </si>
  <si>
    <t>UPMV</t>
  </si>
  <si>
    <t>D-SV2</t>
  </si>
  <si>
    <t>D-SV1</t>
  </si>
  <si>
    <t>D-D8</t>
  </si>
  <si>
    <t>D-D7</t>
  </si>
  <si>
    <t>D-D6</t>
  </si>
  <si>
    <t>D-D5</t>
  </si>
  <si>
    <t>D-D4</t>
  </si>
  <si>
    <t>D-D3</t>
  </si>
  <si>
    <t>D-D2</t>
  </si>
  <si>
    <t>D-D1</t>
  </si>
  <si>
    <t>M-D8</t>
  </si>
  <si>
    <t>M-D7</t>
  </si>
  <si>
    <t>M-D6</t>
  </si>
  <si>
    <t>M-D5</t>
  </si>
  <si>
    <t>M-D4</t>
  </si>
  <si>
    <t>M-D3</t>
  </si>
  <si>
    <t>M-D2</t>
  </si>
  <si>
    <t>M-D1</t>
  </si>
  <si>
    <t>LFA</t>
  </si>
  <si>
    <t>LF</t>
  </si>
  <si>
    <t>HF</t>
  </si>
  <si>
    <t>SCALE</t>
  </si>
  <si>
    <t>M</t>
  </si>
  <si>
    <t>PIVC</t>
  </si>
  <si>
    <t>PIVO</t>
  </si>
  <si>
    <t>CH110-D8</t>
  </si>
  <si>
    <t>CH110-D7</t>
  </si>
  <si>
    <t>CH110-D6</t>
  </si>
  <si>
    <t>CH110-D5</t>
  </si>
  <si>
    <t>CH110-D4</t>
  </si>
  <si>
    <t>CH110-D3</t>
  </si>
  <si>
    <t>CH110-D2</t>
  </si>
  <si>
    <t>CH110-D1</t>
  </si>
  <si>
    <t>CH110</t>
  </si>
  <si>
    <t>TUV</t>
  </si>
  <si>
    <t>VXT</t>
  </si>
  <si>
    <t>FIV</t>
  </si>
  <si>
    <t>ABT</t>
  </si>
  <si>
    <t>PBT</t>
  </si>
  <si>
    <t>PDV</t>
  </si>
  <si>
    <t>DHG</t>
  </si>
  <si>
    <t>FE4</t>
  </si>
  <si>
    <t>FE3</t>
  </si>
  <si>
    <t>C-D8</t>
  </si>
  <si>
    <t>C-D7</t>
  </si>
  <si>
    <t>C-D6</t>
  </si>
  <si>
    <t>C-D5</t>
  </si>
  <si>
    <t>C-D4</t>
  </si>
  <si>
    <t>C-D3</t>
  </si>
  <si>
    <t>C-D2</t>
  </si>
  <si>
    <t>C-D1</t>
  </si>
  <si>
    <t>C-LF</t>
  </si>
  <si>
    <t>C-HF</t>
  </si>
  <si>
    <t>C-WAX</t>
  </si>
  <si>
    <t>C-SCALE</t>
  </si>
  <si>
    <t>ICV</t>
  </si>
  <si>
    <t>VV2</t>
  </si>
  <si>
    <t>VV1</t>
  </si>
  <si>
    <t>LIMV</t>
  </si>
  <si>
    <t>PT2</t>
  </si>
  <si>
    <t>PT1</t>
  </si>
  <si>
    <t>TW</t>
  </si>
  <si>
    <t>PDT</t>
  </si>
  <si>
    <t>ISV</t>
  </si>
  <si>
    <t>IWV</t>
  </si>
  <si>
    <t>UIMV</t>
  </si>
  <si>
    <t>DZ3</t>
  </si>
  <si>
    <t>DZ2</t>
  </si>
  <si>
    <t>DZ1</t>
  </si>
  <si>
    <t>TRCSSV</t>
  </si>
  <si>
    <t>ZT</t>
  </si>
  <si>
    <t>D15</t>
  </si>
  <si>
    <t>F-D15</t>
  </si>
  <si>
    <t>F-D14</t>
  </si>
  <si>
    <t>F-D13</t>
  </si>
  <si>
    <t>F-D12</t>
  </si>
  <si>
    <t>F-D11</t>
  </si>
  <si>
    <t>F-D10</t>
  </si>
  <si>
    <t>F-D9</t>
  </si>
  <si>
    <t>F-D8</t>
  </si>
  <si>
    <t>F-D7</t>
  </si>
  <si>
    <t>F-D6</t>
  </si>
  <si>
    <t>F-D5</t>
  </si>
  <si>
    <t>F-D4</t>
  </si>
  <si>
    <t>F-D3</t>
  </si>
  <si>
    <t>F</t>
  </si>
  <si>
    <t>F-D2</t>
  </si>
  <si>
    <t>F-D1</t>
  </si>
  <si>
    <t>X-D8</t>
  </si>
  <si>
    <t>X-D7</t>
  </si>
  <si>
    <t>X-D6</t>
  </si>
  <si>
    <t>X-D5</t>
  </si>
  <si>
    <t>X-D4</t>
  </si>
  <si>
    <t>X-D3</t>
  </si>
  <si>
    <t>X-D2</t>
  </si>
  <si>
    <t>X-D1</t>
  </si>
  <si>
    <t>X</t>
  </si>
  <si>
    <t>LZV</t>
  </si>
  <si>
    <t>UZV</t>
  </si>
  <si>
    <t>W-D9</t>
  </si>
  <si>
    <t>W-D8</t>
  </si>
  <si>
    <t>W-D7</t>
  </si>
  <si>
    <t>W-D6</t>
  </si>
  <si>
    <t>W-D5</t>
  </si>
  <si>
    <t>W-D4</t>
  </si>
  <si>
    <t>W-D3</t>
  </si>
  <si>
    <t>ICVC2</t>
  </si>
  <si>
    <t>W-D2</t>
  </si>
  <si>
    <t>ICVO2</t>
  </si>
  <si>
    <t>W-D1</t>
  </si>
  <si>
    <t>XOV2</t>
  </si>
  <si>
    <t>AMV2</t>
  </si>
  <si>
    <t>IWV2</t>
  </si>
  <si>
    <t>UIMV2</t>
  </si>
  <si>
    <t>SCSSV2</t>
  </si>
  <si>
    <t>ZTPDT2</t>
  </si>
  <si>
    <t>PT2PT12</t>
  </si>
  <si>
    <t>W</t>
  </si>
  <si>
    <t>W-D11</t>
  </si>
  <si>
    <t>W-D10</t>
  </si>
  <si>
    <t>ICC2</t>
  </si>
  <si>
    <t>ICO2</t>
  </si>
  <si>
    <t>IMV2</t>
  </si>
  <si>
    <t>PDTZT</t>
  </si>
  <si>
    <t>PTT1PTT2</t>
  </si>
  <si>
    <t>FE</t>
  </si>
  <si>
    <t>S-D12</t>
  </si>
  <si>
    <t>S-D11</t>
  </si>
  <si>
    <t>ICC</t>
  </si>
  <si>
    <t>ICO</t>
  </si>
  <si>
    <t>PTT9</t>
  </si>
  <si>
    <t>PTT8</t>
  </si>
  <si>
    <t>Manifold_Manifold_Module</t>
  </si>
  <si>
    <t>Others (Combined)</t>
  </si>
  <si>
    <t>Static_Jumpers</t>
  </si>
  <si>
    <t>Production</t>
  </si>
  <si>
    <t>Water Injection</t>
  </si>
  <si>
    <t>Wellhead_and_XTree_Subsea_XTree</t>
  </si>
  <si>
    <t>P11</t>
  </si>
  <si>
    <t>P111</t>
  </si>
  <si>
    <t>P12</t>
  </si>
  <si>
    <t>P13</t>
  </si>
  <si>
    <t>P15</t>
  </si>
  <si>
    <t>P16</t>
  </si>
  <si>
    <t>P17</t>
  </si>
  <si>
    <t>P19</t>
  </si>
  <si>
    <t>WP14</t>
  </si>
  <si>
    <t>W11</t>
  </si>
  <si>
    <t>W110</t>
  </si>
  <si>
    <t>W12A</t>
  </si>
  <si>
    <t>W13</t>
  </si>
  <si>
    <t>W14</t>
  </si>
  <si>
    <t>W15</t>
  </si>
  <si>
    <t>W16</t>
  </si>
  <si>
    <t>W17</t>
  </si>
  <si>
    <t>W18</t>
  </si>
  <si>
    <t>W19</t>
  </si>
  <si>
    <t>ProcessStrucs</t>
  </si>
  <si>
    <t>Equipment Class</t>
  </si>
  <si>
    <t>Category</t>
  </si>
  <si>
    <t>ControlStrucs</t>
  </si>
  <si>
    <t>Wells</t>
  </si>
  <si>
    <t>UmbJumps</t>
  </si>
  <si>
    <t>DC1</t>
  </si>
  <si>
    <t>ZP2</t>
  </si>
  <si>
    <t>ICVO</t>
  </si>
  <si>
    <t>ICVC</t>
  </si>
  <si>
    <t>P-1-D5</t>
  </si>
  <si>
    <t>P-1-D6</t>
  </si>
  <si>
    <t>P-2-D5</t>
  </si>
  <si>
    <t>P-2-D6</t>
  </si>
  <si>
    <t>P-3-D5</t>
  </si>
  <si>
    <t>P-3-D6</t>
  </si>
  <si>
    <t>P-4-D5</t>
  </si>
  <si>
    <t>P-4-D6</t>
  </si>
  <si>
    <t>P-5-D5</t>
  </si>
  <si>
    <t>P-5-D6</t>
  </si>
  <si>
    <t>P-6-D5</t>
  </si>
  <si>
    <t>P-6-D6</t>
  </si>
  <si>
    <t>P-7-D5</t>
  </si>
  <si>
    <t>P-7-D6</t>
  </si>
  <si>
    <t>P-8-D5</t>
  </si>
  <si>
    <t>P-8-D6</t>
  </si>
  <si>
    <t>P-9-D5</t>
  </si>
  <si>
    <t>P-9-D6</t>
  </si>
  <si>
    <t>P-10-D5</t>
  </si>
  <si>
    <t>P-10-D6</t>
  </si>
  <si>
    <t>P-13-D5</t>
  </si>
  <si>
    <t>P-13-D6</t>
  </si>
  <si>
    <t>P-14-D5</t>
  </si>
  <si>
    <t>P-14-D6</t>
  </si>
  <si>
    <t>P-15-D5</t>
  </si>
  <si>
    <t>P-15-D6</t>
  </si>
  <si>
    <t>P-16-D5</t>
  </si>
  <si>
    <t>P-16-D6</t>
  </si>
  <si>
    <t>P-17-D5</t>
  </si>
  <si>
    <t>P-17-D6</t>
  </si>
  <si>
    <t>P-18-D6</t>
  </si>
  <si>
    <t>P-18-D7</t>
  </si>
  <si>
    <t>P-19-D6</t>
  </si>
  <si>
    <t>P-19-D7</t>
  </si>
  <si>
    <t>P-20-D6</t>
  </si>
  <si>
    <t>P-20-D7</t>
  </si>
  <si>
    <t>P-21-D6</t>
  </si>
  <si>
    <t>P-21-D7</t>
  </si>
  <si>
    <t>P-22-D5</t>
  </si>
  <si>
    <t>P-22-D6</t>
  </si>
  <si>
    <t>P-23-D5</t>
  </si>
  <si>
    <t>P-23-D6</t>
  </si>
  <si>
    <t>P-SCM-D5</t>
  </si>
  <si>
    <t>P-SCM-D6</t>
  </si>
  <si>
    <t>EFL1</t>
  </si>
  <si>
    <t>EFL2</t>
  </si>
  <si>
    <t>EFL3</t>
  </si>
  <si>
    <t>EFL4</t>
  </si>
  <si>
    <t>Umbilical Subsea Termination</t>
  </si>
  <si>
    <t>UST1</t>
  </si>
  <si>
    <t>UST2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</si>
</sst>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&quot;£&quot;\ #,##0;\-&quot;£&quot;\ #,##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8"/>
      <name val="Arial"/>
      <family val="2"/>
    </font>
    <font>
      <b/>
      <sz val="13"/>
      <color indexed="56"/>
      <name val="Calibri"/>
      <family val="2"/>
    </font>
    <font>
      <b/>
      <sz val="12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8"/>
      </top>
      <bottom/>
      <diagonal/>
    </border>
  </borders>
  <cellStyleXfs count="125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8" fillId="22" borderId="1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0" fontId="9" fillId="23" borderId="2" applyNumberFormat="0" applyAlignment="0" applyProtection="0"/>
    <xf numFmtId="164" fontId="1" fillId="0" borderId="0" applyFont="0" applyFill="0" applyBorder="0" applyAlignment="0" applyProtection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6" fillId="0" borderId="0" applyNumberFormat="0" applyFill="0" applyBorder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>
      <alignment vertical="top"/>
      <protection locked="0"/>
    </xf>
    <xf numFmtId="0" fontId="20" fillId="9" borderId="1" applyNumberFormat="0" applyAlignment="0" applyProtection="0"/>
    <xf numFmtId="0" fontId="20" fillId="9" borderId="1" applyNumberFormat="0" applyAlignment="0" applyProtection="0"/>
    <xf numFmtId="0" fontId="20" fillId="9" borderId="1" applyNumberFormat="0" applyAlignment="0" applyProtection="0"/>
    <xf numFmtId="0" fontId="20" fillId="9" borderId="1" applyNumberFormat="0" applyAlignment="0" applyProtection="0"/>
    <xf numFmtId="0" fontId="20" fillId="9" borderId="1" applyNumberFormat="0" applyAlignment="0" applyProtection="0"/>
    <xf numFmtId="0" fontId="20" fillId="9" borderId="1" applyNumberFormat="0" applyAlignment="0" applyProtection="0"/>
    <xf numFmtId="0" fontId="20" fillId="9" borderId="1" applyNumberFormat="0" applyAlignment="0" applyProtection="0"/>
    <xf numFmtId="0" fontId="20" fillId="9" borderId="1" applyNumberFormat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1" fillId="0" borderId="6" applyNumberFormat="0" applyFill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22" fillId="24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" fillId="0" borderId="0"/>
    <xf numFmtId="0" fontId="10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10" fillId="25" borderId="7" applyNumberFormat="0" applyFon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5" fillId="22" borderId="8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10" fillId="0" borderId="10" applyNumberFormat="0" applyFon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10" fillId="0" borderId="10" applyNumberFormat="0" applyFon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8">
    <xf numFmtId="0" fontId="0" fillId="0" borderId="0" xfId="0"/>
    <xf numFmtId="0" fontId="2" fillId="2" borderId="0" xfId="1" applyAlignment="1">
      <alignment horizontal="center"/>
    </xf>
    <xf numFmtId="0" fontId="3" fillId="3" borderId="0" xfId="2" applyAlignment="1">
      <alignment horizontal="center"/>
    </xf>
    <xf numFmtId="0" fontId="0" fillId="0" borderId="0" xfId="0" applyAlignment="1">
      <alignment horizontal="center"/>
    </xf>
    <xf numFmtId="0" fontId="2" fillId="2" borderId="0" xfId="1" applyBorder="1" applyAlignment="1">
      <alignment horizontal="center"/>
    </xf>
    <xf numFmtId="0" fontId="3" fillId="3" borderId="0" xfId="2" applyBorder="1" applyAlignment="1">
      <alignment horizontal="center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/>
    <xf numFmtId="0" fontId="29" fillId="0" borderId="0" xfId="0" applyFont="1" applyAlignment="1">
      <alignment horizontal="left"/>
    </xf>
    <xf numFmtId="0" fontId="0" fillId="0" borderId="0" xfId="0"/>
    <xf numFmtId="0" fontId="0" fillId="0" borderId="0" xfId="0"/>
    <xf numFmtId="0" fontId="0" fillId="0" borderId="0" xfId="0"/>
  </cellXfs>
  <cellStyles count="1252">
    <cellStyle name="20% - Accent1 2" xfId="3"/>
    <cellStyle name="20% - Accent1 2 2" xfId="4"/>
    <cellStyle name="20% - Accent1 2 2 2" xfId="5"/>
    <cellStyle name="20% - Accent1 2 3" xfId="6"/>
    <cellStyle name="20% - Accent1 3" xfId="7"/>
    <cellStyle name="20% - Accent1 3 2" xfId="8"/>
    <cellStyle name="20% - Accent1 3 2 2" xfId="9"/>
    <cellStyle name="20% - Accent1 3 3" xfId="10"/>
    <cellStyle name="20% - Accent2 2" xfId="11"/>
    <cellStyle name="20% - Accent2 2 2" xfId="12"/>
    <cellStyle name="20% - Accent2 2 2 2" xfId="13"/>
    <cellStyle name="20% - Accent2 2 3" xfId="14"/>
    <cellStyle name="20% - Accent2 3" xfId="15"/>
    <cellStyle name="20% - Accent2 3 2" xfId="16"/>
    <cellStyle name="20% - Accent2 3 2 2" xfId="17"/>
    <cellStyle name="20% - Accent2 3 3" xfId="18"/>
    <cellStyle name="20% - Accent3 2" xfId="19"/>
    <cellStyle name="20% - Accent3 2 2" xfId="20"/>
    <cellStyle name="20% - Accent3 2 2 2" xfId="21"/>
    <cellStyle name="20% - Accent3 2 3" xfId="22"/>
    <cellStyle name="20% - Accent3 3" xfId="23"/>
    <cellStyle name="20% - Accent3 3 2" xfId="24"/>
    <cellStyle name="20% - Accent3 3 2 2" xfId="25"/>
    <cellStyle name="20% - Accent3 3 3" xfId="26"/>
    <cellStyle name="20% - Accent4 2" xfId="27"/>
    <cellStyle name="20% - Accent4 2 2" xfId="28"/>
    <cellStyle name="20% - Accent4 2 2 2" xfId="29"/>
    <cellStyle name="20% - Accent4 2 3" xfId="30"/>
    <cellStyle name="20% - Accent4 3" xfId="31"/>
    <cellStyle name="20% - Accent4 3 2" xfId="32"/>
    <cellStyle name="20% - Accent4 3 2 2" xfId="33"/>
    <cellStyle name="20% - Accent4 3 3" xfId="34"/>
    <cellStyle name="20% - Accent5 2" xfId="35"/>
    <cellStyle name="20% - Accent5 2 2" xfId="36"/>
    <cellStyle name="20% - Accent5 2 2 2" xfId="37"/>
    <cellStyle name="20% - Accent5 2 3" xfId="38"/>
    <cellStyle name="20% - Accent5 3" xfId="39"/>
    <cellStyle name="20% - Accent5 3 2" xfId="40"/>
    <cellStyle name="20% - Accent5 3 2 2" xfId="41"/>
    <cellStyle name="20% - Accent5 3 3" xfId="42"/>
    <cellStyle name="20% - Accent6 2" xfId="43"/>
    <cellStyle name="20% - Accent6 2 2" xfId="44"/>
    <cellStyle name="20% - Accent6 2 2 2" xfId="45"/>
    <cellStyle name="20% - Accent6 2 3" xfId="46"/>
    <cellStyle name="20% - Accent6 3" xfId="47"/>
    <cellStyle name="20% - Accent6 3 2" xfId="48"/>
    <cellStyle name="20% - Accent6 3 2 2" xfId="49"/>
    <cellStyle name="20% - Accent6 3 3" xfId="50"/>
    <cellStyle name="40% - Accent1 2" xfId="51"/>
    <cellStyle name="40% - Accent1 2 2" xfId="52"/>
    <cellStyle name="40% - Accent1 2 2 2" xfId="53"/>
    <cellStyle name="40% - Accent1 2 3" xfId="54"/>
    <cellStyle name="40% - Accent1 3" xfId="55"/>
    <cellStyle name="40% - Accent1 3 2" xfId="56"/>
    <cellStyle name="40% - Accent1 3 2 2" xfId="57"/>
    <cellStyle name="40% - Accent1 3 3" xfId="58"/>
    <cellStyle name="40% - Accent2 2" xfId="59"/>
    <cellStyle name="40% - Accent2 2 2" xfId="60"/>
    <cellStyle name="40% - Accent2 2 2 2" xfId="61"/>
    <cellStyle name="40% - Accent2 2 3" xfId="62"/>
    <cellStyle name="40% - Accent2 3" xfId="63"/>
    <cellStyle name="40% - Accent2 3 2" xfId="64"/>
    <cellStyle name="40% - Accent2 3 2 2" xfId="65"/>
    <cellStyle name="40% - Accent2 3 3" xfId="66"/>
    <cellStyle name="40% - Accent3 2" xfId="67"/>
    <cellStyle name="40% - Accent3 2 2" xfId="68"/>
    <cellStyle name="40% - Accent3 2 2 2" xfId="69"/>
    <cellStyle name="40% - Accent3 2 3" xfId="70"/>
    <cellStyle name="40% - Accent3 3" xfId="71"/>
    <cellStyle name="40% - Accent3 3 2" xfId="72"/>
    <cellStyle name="40% - Accent3 3 2 2" xfId="73"/>
    <cellStyle name="40% - Accent3 3 3" xfId="74"/>
    <cellStyle name="40% - Accent4 2" xfId="75"/>
    <cellStyle name="40% - Accent4 2 2" xfId="76"/>
    <cellStyle name="40% - Accent4 2 2 2" xfId="77"/>
    <cellStyle name="40% - Accent4 2 3" xfId="78"/>
    <cellStyle name="40% - Accent4 3" xfId="79"/>
    <cellStyle name="40% - Accent4 3 2" xfId="80"/>
    <cellStyle name="40% - Accent4 3 2 2" xfId="81"/>
    <cellStyle name="40% - Accent4 3 3" xfId="82"/>
    <cellStyle name="40% - Accent5 2" xfId="83"/>
    <cellStyle name="40% - Accent5 2 2" xfId="84"/>
    <cellStyle name="40% - Accent5 2 2 2" xfId="85"/>
    <cellStyle name="40% - Accent5 2 3" xfId="86"/>
    <cellStyle name="40% - Accent5 3" xfId="87"/>
    <cellStyle name="40% - Accent5 3 2" xfId="88"/>
    <cellStyle name="40% - Accent5 3 2 2" xfId="89"/>
    <cellStyle name="40% - Accent5 3 3" xfId="90"/>
    <cellStyle name="40% - Accent6 2" xfId="91"/>
    <cellStyle name="40% - Accent6 2 2" xfId="92"/>
    <cellStyle name="40% - Accent6 2 2 2" xfId="93"/>
    <cellStyle name="40% - Accent6 2 3" xfId="94"/>
    <cellStyle name="40% - Accent6 3" xfId="95"/>
    <cellStyle name="40% - Accent6 3 2" xfId="96"/>
    <cellStyle name="40% - Accent6 3 2 2" xfId="97"/>
    <cellStyle name="40% - Accent6 3 3" xfId="98"/>
    <cellStyle name="60% - Accent1 2" xfId="99"/>
    <cellStyle name="60% - Accent1 2 2" xfId="100"/>
    <cellStyle name="60% - Accent1 2 2 2" xfId="101"/>
    <cellStyle name="60% - Accent1 2 3" xfId="102"/>
    <cellStyle name="60% - Accent1 3" xfId="103"/>
    <cellStyle name="60% - Accent1 3 2" xfId="104"/>
    <cellStyle name="60% - Accent1 3 2 2" xfId="105"/>
    <cellStyle name="60% - Accent1 3 3" xfId="106"/>
    <cellStyle name="60% - Accent2 2" xfId="107"/>
    <cellStyle name="60% - Accent2 2 2" xfId="108"/>
    <cellStyle name="60% - Accent2 2 2 2" xfId="109"/>
    <cellStyle name="60% - Accent2 2 3" xfId="110"/>
    <cellStyle name="60% - Accent2 3" xfId="111"/>
    <cellStyle name="60% - Accent2 3 2" xfId="112"/>
    <cellStyle name="60% - Accent2 3 2 2" xfId="113"/>
    <cellStyle name="60% - Accent2 3 3" xfId="114"/>
    <cellStyle name="60% - Accent3 2" xfId="115"/>
    <cellStyle name="60% - Accent3 2 2" xfId="116"/>
    <cellStyle name="60% - Accent3 2 2 2" xfId="117"/>
    <cellStyle name="60% - Accent3 2 3" xfId="118"/>
    <cellStyle name="60% - Accent3 3" xfId="119"/>
    <cellStyle name="60% - Accent3 3 2" xfId="120"/>
    <cellStyle name="60% - Accent3 3 2 2" xfId="121"/>
    <cellStyle name="60% - Accent3 3 3" xfId="122"/>
    <cellStyle name="60% - Accent4 2" xfId="123"/>
    <cellStyle name="60% - Accent4 2 2" xfId="124"/>
    <cellStyle name="60% - Accent4 2 2 2" xfId="125"/>
    <cellStyle name="60% - Accent4 2 3" xfId="126"/>
    <cellStyle name="60% - Accent4 3" xfId="127"/>
    <cellStyle name="60% - Accent4 3 2" xfId="128"/>
    <cellStyle name="60% - Accent4 3 2 2" xfId="129"/>
    <cellStyle name="60% - Accent4 3 3" xfId="130"/>
    <cellStyle name="60% - Accent5 2" xfId="131"/>
    <cellStyle name="60% - Accent5 2 2" xfId="132"/>
    <cellStyle name="60% - Accent5 2 2 2" xfId="133"/>
    <cellStyle name="60% - Accent5 2 3" xfId="134"/>
    <cellStyle name="60% - Accent5 3" xfId="135"/>
    <cellStyle name="60% - Accent5 3 2" xfId="136"/>
    <cellStyle name="60% - Accent5 3 2 2" xfId="137"/>
    <cellStyle name="60% - Accent5 3 3" xfId="138"/>
    <cellStyle name="60% - Accent6 2" xfId="139"/>
    <cellStyle name="60% - Accent6 2 2" xfId="140"/>
    <cellStyle name="60% - Accent6 2 2 2" xfId="141"/>
    <cellStyle name="60% - Accent6 2 3" xfId="142"/>
    <cellStyle name="60% - Accent6 3" xfId="143"/>
    <cellStyle name="60% - Accent6 3 2" xfId="144"/>
    <cellStyle name="60% - Accent6 3 2 2" xfId="145"/>
    <cellStyle name="60% - Accent6 3 3" xfId="146"/>
    <cellStyle name="Accent1 2" xfId="147"/>
    <cellStyle name="Accent1 2 2" xfId="148"/>
    <cellStyle name="Accent1 2 2 2" xfId="149"/>
    <cellStyle name="Accent1 2 3" xfId="150"/>
    <cellStyle name="Accent1 3" xfId="151"/>
    <cellStyle name="Accent1 3 2" xfId="152"/>
    <cellStyle name="Accent1 3 2 2" xfId="153"/>
    <cellStyle name="Accent1 3 3" xfId="154"/>
    <cellStyle name="Accent2 2" xfId="155"/>
    <cellStyle name="Accent2 2 2" xfId="156"/>
    <cellStyle name="Accent2 2 2 2" xfId="157"/>
    <cellStyle name="Accent2 2 3" xfId="158"/>
    <cellStyle name="Accent2 3" xfId="159"/>
    <cellStyle name="Accent2 3 2" xfId="160"/>
    <cellStyle name="Accent2 3 2 2" xfId="161"/>
    <cellStyle name="Accent2 3 3" xfId="162"/>
    <cellStyle name="Accent3 2" xfId="163"/>
    <cellStyle name="Accent3 2 2" xfId="164"/>
    <cellStyle name="Accent3 2 2 2" xfId="165"/>
    <cellStyle name="Accent3 2 3" xfId="166"/>
    <cellStyle name="Accent3 3" xfId="167"/>
    <cellStyle name="Accent3 3 2" xfId="168"/>
    <cellStyle name="Accent3 3 2 2" xfId="169"/>
    <cellStyle name="Accent3 3 3" xfId="170"/>
    <cellStyle name="Accent4 2" xfId="171"/>
    <cellStyle name="Accent4 2 2" xfId="172"/>
    <cellStyle name="Accent4 2 2 2" xfId="173"/>
    <cellStyle name="Accent4 2 3" xfId="174"/>
    <cellStyle name="Accent4 3" xfId="175"/>
    <cellStyle name="Accent4 3 2" xfId="176"/>
    <cellStyle name="Accent4 3 2 2" xfId="177"/>
    <cellStyle name="Accent4 3 3" xfId="178"/>
    <cellStyle name="Accent5 2" xfId="179"/>
    <cellStyle name="Accent5 2 2" xfId="180"/>
    <cellStyle name="Accent5 2 2 2" xfId="181"/>
    <cellStyle name="Accent5 2 3" xfId="182"/>
    <cellStyle name="Accent5 3" xfId="183"/>
    <cellStyle name="Accent5 3 2" xfId="184"/>
    <cellStyle name="Accent5 3 2 2" xfId="185"/>
    <cellStyle name="Accent5 3 3" xfId="186"/>
    <cellStyle name="Accent6 2" xfId="187"/>
    <cellStyle name="Accent6 2 2" xfId="188"/>
    <cellStyle name="Accent6 2 2 2" xfId="189"/>
    <cellStyle name="Accent6 2 3" xfId="190"/>
    <cellStyle name="Accent6 3" xfId="191"/>
    <cellStyle name="Accent6 3 2" xfId="192"/>
    <cellStyle name="Accent6 3 2 2" xfId="193"/>
    <cellStyle name="Accent6 3 3" xfId="194"/>
    <cellStyle name="Bad 2" xfId="195"/>
    <cellStyle name="Bad 2 2" xfId="196"/>
    <cellStyle name="Bad 2 2 2" xfId="197"/>
    <cellStyle name="Bad 2 3" xfId="198"/>
    <cellStyle name="Bad 3" xfId="199"/>
    <cellStyle name="Bad 3 2" xfId="200"/>
    <cellStyle name="Bad 3 2 2" xfId="201"/>
    <cellStyle name="Bad 3 3" xfId="202"/>
    <cellStyle name="Calculation 2" xfId="203"/>
    <cellStyle name="Calculation 2 2" xfId="204"/>
    <cellStyle name="Calculation 2 2 2" xfId="205"/>
    <cellStyle name="Calculation 2 3" xfId="206"/>
    <cellStyle name="Calculation 3" xfId="207"/>
    <cellStyle name="Calculation 3 2" xfId="208"/>
    <cellStyle name="Calculation 3 2 2" xfId="209"/>
    <cellStyle name="Calculation 3 3" xfId="210"/>
    <cellStyle name="Check Cell 2" xfId="211"/>
    <cellStyle name="Check Cell 2 2" xfId="212"/>
    <cellStyle name="Check Cell 2 2 2" xfId="213"/>
    <cellStyle name="Check Cell 2 3" xfId="214"/>
    <cellStyle name="Check Cell 3" xfId="215"/>
    <cellStyle name="Check Cell 3 2" xfId="216"/>
    <cellStyle name="Check Cell 3 2 2" xfId="217"/>
    <cellStyle name="Check Cell 3 3" xfId="218"/>
    <cellStyle name="Comma 2" xfId="219"/>
    <cellStyle name="Comma0" xfId="220"/>
    <cellStyle name="Comma0 2" xfId="221"/>
    <cellStyle name="Currency0" xfId="222"/>
    <cellStyle name="Currency0 2" xfId="223"/>
    <cellStyle name="Date" xfId="224"/>
    <cellStyle name="Date 2" xfId="225"/>
    <cellStyle name="Explanatory Text 2" xfId="226"/>
    <cellStyle name="Explanatory Text 2 2" xfId="227"/>
    <cellStyle name="Explanatory Text 2 2 2" xfId="228"/>
    <cellStyle name="Explanatory Text 2 3" xfId="229"/>
    <cellStyle name="Explanatory Text 3" xfId="230"/>
    <cellStyle name="Explanatory Text 3 2" xfId="231"/>
    <cellStyle name="Explanatory Text 3 2 2" xfId="232"/>
    <cellStyle name="Explanatory Text 3 3" xfId="233"/>
    <cellStyle name="Fixed" xfId="234"/>
    <cellStyle name="Fixed 2" xfId="235"/>
    <cellStyle name="Good" xfId="1" builtinId="26"/>
    <cellStyle name="Good 2" xfId="236"/>
    <cellStyle name="Good 2 2" xfId="237"/>
    <cellStyle name="Good 2 2 2" xfId="238"/>
    <cellStyle name="Good 2 3" xfId="239"/>
    <cellStyle name="Good 3" xfId="240"/>
    <cellStyle name="Good 3 2" xfId="241"/>
    <cellStyle name="Good 3 2 2" xfId="242"/>
    <cellStyle name="Good 3 3" xfId="243"/>
    <cellStyle name="Heading 1 2" xfId="244"/>
    <cellStyle name="Heading 1 2 2" xfId="245"/>
    <cellStyle name="Heading 1 2 2 2" xfId="246"/>
    <cellStyle name="Heading 1 2 3" xfId="247"/>
    <cellStyle name="Heading 1 3" xfId="248"/>
    <cellStyle name="Heading 1 3 2" xfId="249"/>
    <cellStyle name="Heading 1 3 2 2" xfId="250"/>
    <cellStyle name="Heading 1 3 3" xfId="251"/>
    <cellStyle name="Heading 1 3 3 2" xfId="252"/>
    <cellStyle name="Heading 2 2" xfId="253"/>
    <cellStyle name="Heading 2 2 2" xfId="254"/>
    <cellStyle name="Heading 2 2 2 2" xfId="255"/>
    <cellStyle name="Heading 2 2 3" xfId="256"/>
    <cellStyle name="Heading 2 3" xfId="257"/>
    <cellStyle name="Heading 2 3 2" xfId="258"/>
    <cellStyle name="Heading 2 3 2 2" xfId="259"/>
    <cellStyle name="Heading 2 3 3" xfId="260"/>
    <cellStyle name="Heading 2 3 3 2" xfId="261"/>
    <cellStyle name="Heading 3 2" xfId="262"/>
    <cellStyle name="Heading 3 2 2" xfId="263"/>
    <cellStyle name="Heading 3 2 2 2" xfId="264"/>
    <cellStyle name="Heading 3 2 3" xfId="265"/>
    <cellStyle name="Heading 3 3" xfId="266"/>
    <cellStyle name="Heading 3 3 2" xfId="267"/>
    <cellStyle name="Heading 3 3 2 2" xfId="268"/>
    <cellStyle name="Heading 3 3 3" xfId="269"/>
    <cellStyle name="Heading 4 2" xfId="270"/>
    <cellStyle name="Heading 4 2 2" xfId="271"/>
    <cellStyle name="Heading 4 2 2 2" xfId="272"/>
    <cellStyle name="Heading 4 2 3" xfId="273"/>
    <cellStyle name="Heading 4 3" xfId="274"/>
    <cellStyle name="Heading 4 3 2" xfId="275"/>
    <cellStyle name="Heading 4 3 2 2" xfId="276"/>
    <cellStyle name="Heading 4 3 3" xfId="277"/>
    <cellStyle name="Hyperlink 2" xfId="278"/>
    <cellStyle name="Hyperlink 2 2" xfId="279"/>
    <cellStyle name="Hyperlink 3" xfId="280"/>
    <cellStyle name="Hyperlink 3 2" xfId="281"/>
    <cellStyle name="Input 2" xfId="282"/>
    <cellStyle name="Input 2 2" xfId="283"/>
    <cellStyle name="Input 2 2 2" xfId="284"/>
    <cellStyle name="Input 2 3" xfId="285"/>
    <cellStyle name="Input 3" xfId="286"/>
    <cellStyle name="Input 3 2" xfId="287"/>
    <cellStyle name="Input 3 2 2" xfId="288"/>
    <cellStyle name="Input 3 3" xfId="289"/>
    <cellStyle name="Linked Cell 2" xfId="290"/>
    <cellStyle name="Linked Cell 2 2" xfId="291"/>
    <cellStyle name="Linked Cell 2 2 2" xfId="292"/>
    <cellStyle name="Linked Cell 2 3" xfId="293"/>
    <cellStyle name="Linked Cell 3" xfId="294"/>
    <cellStyle name="Linked Cell 3 2" xfId="295"/>
    <cellStyle name="Linked Cell 3 2 2" xfId="296"/>
    <cellStyle name="Linked Cell 3 3" xfId="297"/>
    <cellStyle name="Neutral" xfId="2" builtinId="28"/>
    <cellStyle name="Neutral 2" xfId="298"/>
    <cellStyle name="Neutral 2 2" xfId="299"/>
    <cellStyle name="Neutral 2 2 2" xfId="300"/>
    <cellStyle name="Neutral 2 3" xfId="301"/>
    <cellStyle name="Neutral 3" xfId="302"/>
    <cellStyle name="Neutral 3 2" xfId="303"/>
    <cellStyle name="Neutral 3 2 2" xfId="304"/>
    <cellStyle name="Neutral 3 3" xfId="305"/>
    <cellStyle name="Normal" xfId="0" builtinId="0"/>
    <cellStyle name="Normal 10" xfId="306"/>
    <cellStyle name="Normal 10 10" xfId="307"/>
    <cellStyle name="Normal 10 11" xfId="308"/>
    <cellStyle name="Normal 10 12" xfId="309"/>
    <cellStyle name="Normal 10 13" xfId="310"/>
    <cellStyle name="Normal 10 14" xfId="311"/>
    <cellStyle name="Normal 10 15" xfId="312"/>
    <cellStyle name="Normal 10 16" xfId="313"/>
    <cellStyle name="Normal 10 2" xfId="314"/>
    <cellStyle name="Normal 10 3" xfId="315"/>
    <cellStyle name="Normal 10 4" xfId="316"/>
    <cellStyle name="Normal 10 5" xfId="317"/>
    <cellStyle name="Normal 10 6" xfId="318"/>
    <cellStyle name="Normal 10 7" xfId="319"/>
    <cellStyle name="Normal 10 8" xfId="320"/>
    <cellStyle name="Normal 10 9" xfId="321"/>
    <cellStyle name="Normal 100" xfId="322"/>
    <cellStyle name="Normal 100 2" xfId="323"/>
    <cellStyle name="Normal 100 3" xfId="324"/>
    <cellStyle name="Normal 100 3 2" xfId="325"/>
    <cellStyle name="Normal 100 3 3" xfId="326"/>
    <cellStyle name="Normal 100 3 3 2" xfId="327"/>
    <cellStyle name="Normal 101" xfId="328"/>
    <cellStyle name="Normal 101 2" xfId="329"/>
    <cellStyle name="Normal 101 3" xfId="330"/>
    <cellStyle name="Normal 101 3 2" xfId="331"/>
    <cellStyle name="Normal 102" xfId="332"/>
    <cellStyle name="Normal 11" xfId="333"/>
    <cellStyle name="Normal 11 10" xfId="334"/>
    <cellStyle name="Normal 11 11" xfId="335"/>
    <cellStyle name="Normal 11 12" xfId="336"/>
    <cellStyle name="Normal 11 13" xfId="337"/>
    <cellStyle name="Normal 11 14" xfId="338"/>
    <cellStyle name="Normal 11 15" xfId="339"/>
    <cellStyle name="Normal 11 16" xfId="340"/>
    <cellStyle name="Normal 11 2" xfId="341"/>
    <cellStyle name="Normal 11 3" xfId="342"/>
    <cellStyle name="Normal 11 4" xfId="343"/>
    <cellStyle name="Normal 11 5" xfId="344"/>
    <cellStyle name="Normal 11 6" xfId="345"/>
    <cellStyle name="Normal 11 7" xfId="346"/>
    <cellStyle name="Normal 11 8" xfId="347"/>
    <cellStyle name="Normal 11 9" xfId="348"/>
    <cellStyle name="Normal 12" xfId="349"/>
    <cellStyle name="Normal 12 10" xfId="350"/>
    <cellStyle name="Normal 12 11" xfId="351"/>
    <cellStyle name="Normal 12 12" xfId="352"/>
    <cellStyle name="Normal 12 13" xfId="353"/>
    <cellStyle name="Normal 12 14" xfId="354"/>
    <cellStyle name="Normal 12 15" xfId="355"/>
    <cellStyle name="Normal 12 16" xfId="356"/>
    <cellStyle name="Normal 12 17" xfId="357"/>
    <cellStyle name="Normal 12 18" xfId="358"/>
    <cellStyle name="Normal 12 19" xfId="359"/>
    <cellStyle name="Normal 12 2" xfId="360"/>
    <cellStyle name="Normal 12 20" xfId="361"/>
    <cellStyle name="Normal 12 21" xfId="362"/>
    <cellStyle name="Normal 12 22" xfId="363"/>
    <cellStyle name="Normal 12 23" xfId="364"/>
    <cellStyle name="Normal 12 24" xfId="365"/>
    <cellStyle name="Normal 12 25" xfId="366"/>
    <cellStyle name="Normal 12 3" xfId="367"/>
    <cellStyle name="Normal 12 4" xfId="368"/>
    <cellStyle name="Normal 12 5" xfId="369"/>
    <cellStyle name="Normal 12 6" xfId="370"/>
    <cellStyle name="Normal 12 7" xfId="371"/>
    <cellStyle name="Normal 12 8" xfId="372"/>
    <cellStyle name="Normal 12 9" xfId="373"/>
    <cellStyle name="Normal 13" xfId="374"/>
    <cellStyle name="Normal 14" xfId="375"/>
    <cellStyle name="Normal 14 2" xfId="376"/>
    <cellStyle name="Normal 14 3" xfId="377"/>
    <cellStyle name="Normal 14 4" xfId="378"/>
    <cellStyle name="Normal 14 5" xfId="379"/>
    <cellStyle name="Normal 14 6" xfId="380"/>
    <cellStyle name="Normal 15" xfId="381"/>
    <cellStyle name="Normal 15 10" xfId="382"/>
    <cellStyle name="Normal 15 11" xfId="383"/>
    <cellStyle name="Normal 15 12" xfId="384"/>
    <cellStyle name="Normal 15 13" xfId="385"/>
    <cellStyle name="Normal 15 14" xfId="386"/>
    <cellStyle name="Normal 15 15" xfId="387"/>
    <cellStyle name="Normal 15 16" xfId="388"/>
    <cellStyle name="Normal 15 17" xfId="389"/>
    <cellStyle name="Normal 15 18" xfId="390"/>
    <cellStyle name="Normal 15 19" xfId="391"/>
    <cellStyle name="Normal 15 2" xfId="392"/>
    <cellStyle name="Normal 15 20" xfId="393"/>
    <cellStyle name="Normal 15 21" xfId="394"/>
    <cellStyle name="Normal 15 22" xfId="395"/>
    <cellStyle name="Normal 15 23" xfId="396"/>
    <cellStyle name="Normal 15 24" xfId="397"/>
    <cellStyle name="Normal 15 25" xfId="398"/>
    <cellStyle name="Normal 15 3" xfId="399"/>
    <cellStyle name="Normal 15 4" xfId="400"/>
    <cellStyle name="Normal 15 5" xfId="401"/>
    <cellStyle name="Normal 15 6" xfId="402"/>
    <cellStyle name="Normal 15 7" xfId="403"/>
    <cellStyle name="Normal 15 8" xfId="404"/>
    <cellStyle name="Normal 15 9" xfId="405"/>
    <cellStyle name="Normal 16" xfId="406"/>
    <cellStyle name="Normal 16 10" xfId="407"/>
    <cellStyle name="Normal 16 11" xfId="408"/>
    <cellStyle name="Normal 16 12" xfId="409"/>
    <cellStyle name="Normal 16 13" xfId="410"/>
    <cellStyle name="Normal 16 14" xfId="411"/>
    <cellStyle name="Normal 16 15" xfId="412"/>
    <cellStyle name="Normal 16 16" xfId="413"/>
    <cellStyle name="Normal 16 2" xfId="414"/>
    <cellStyle name="Normal 16 3" xfId="415"/>
    <cellStyle name="Normal 16 4" xfId="416"/>
    <cellStyle name="Normal 16 5" xfId="417"/>
    <cellStyle name="Normal 16 6" xfId="418"/>
    <cellStyle name="Normal 16 7" xfId="419"/>
    <cellStyle name="Normal 16 8" xfId="420"/>
    <cellStyle name="Normal 16 9" xfId="421"/>
    <cellStyle name="Normal 17" xfId="422"/>
    <cellStyle name="Normal 17 10" xfId="423"/>
    <cellStyle name="Normal 17 11" xfId="424"/>
    <cellStyle name="Normal 17 12" xfId="425"/>
    <cellStyle name="Normal 17 13" xfId="426"/>
    <cellStyle name="Normal 17 14" xfId="427"/>
    <cellStyle name="Normal 17 15" xfId="428"/>
    <cellStyle name="Normal 17 16" xfId="429"/>
    <cellStyle name="Normal 17 2" xfId="430"/>
    <cellStyle name="Normal 17 3" xfId="431"/>
    <cellStyle name="Normal 17 4" xfId="432"/>
    <cellStyle name="Normal 17 5" xfId="433"/>
    <cellStyle name="Normal 17 6" xfId="434"/>
    <cellStyle name="Normal 17 7" xfId="435"/>
    <cellStyle name="Normal 17 8" xfId="436"/>
    <cellStyle name="Normal 17 9" xfId="437"/>
    <cellStyle name="Normal 18" xfId="438"/>
    <cellStyle name="Normal 19" xfId="439"/>
    <cellStyle name="Normal 19 10" xfId="440"/>
    <cellStyle name="Normal 19 11" xfId="441"/>
    <cellStyle name="Normal 19 12" xfId="442"/>
    <cellStyle name="Normal 19 13" xfId="443"/>
    <cellStyle name="Normal 19 14" xfId="444"/>
    <cellStyle name="Normal 19 15" xfId="445"/>
    <cellStyle name="Normal 19 16" xfId="446"/>
    <cellStyle name="Normal 19 2" xfId="447"/>
    <cellStyle name="Normal 19 3" xfId="448"/>
    <cellStyle name="Normal 19 4" xfId="449"/>
    <cellStyle name="Normal 19 5" xfId="450"/>
    <cellStyle name="Normal 19 6" xfId="451"/>
    <cellStyle name="Normal 19 7" xfId="452"/>
    <cellStyle name="Normal 19 8" xfId="453"/>
    <cellStyle name="Normal 19 9" xfId="454"/>
    <cellStyle name="Normal 2" xfId="455"/>
    <cellStyle name="Normal 2 10" xfId="456"/>
    <cellStyle name="Normal 2 10 2" xfId="457"/>
    <cellStyle name="Normal 2 11" xfId="458"/>
    <cellStyle name="Normal 2 12" xfId="459"/>
    <cellStyle name="Normal 2 13" xfId="460"/>
    <cellStyle name="Normal 2 14" xfId="461"/>
    <cellStyle name="Normal 2 15" xfId="462"/>
    <cellStyle name="Normal 2 16" xfId="463"/>
    <cellStyle name="Normal 2 17" xfId="464"/>
    <cellStyle name="Normal 2 18" xfId="465"/>
    <cellStyle name="Normal 2 19" xfId="466"/>
    <cellStyle name="Normal 2 2" xfId="467"/>
    <cellStyle name="Normal 2 2 2" xfId="468"/>
    <cellStyle name="Normal 2 20" xfId="469"/>
    <cellStyle name="Normal 2 21" xfId="470"/>
    <cellStyle name="Normal 2 22" xfId="471"/>
    <cellStyle name="Normal 2 23" xfId="472"/>
    <cellStyle name="Normal 2 24" xfId="473"/>
    <cellStyle name="Normal 2 25" xfId="474"/>
    <cellStyle name="Normal 2 26" xfId="475"/>
    <cellStyle name="Normal 2 27" xfId="476"/>
    <cellStyle name="Normal 2 28" xfId="477"/>
    <cellStyle name="Normal 2 29" xfId="478"/>
    <cellStyle name="Normal 2 3" xfId="479"/>
    <cellStyle name="Normal 2 3 2" xfId="480"/>
    <cellStyle name="Normal 2 3 2 2" xfId="481"/>
    <cellStyle name="Normal 2 3 3" xfId="482"/>
    <cellStyle name="Normal 2 30" xfId="483"/>
    <cellStyle name="Normal 2 31" xfId="484"/>
    <cellStyle name="Normal 2 32" xfId="485"/>
    <cellStyle name="Normal 2 33" xfId="486"/>
    <cellStyle name="Normal 2 34" xfId="487"/>
    <cellStyle name="Normal 2 35" xfId="488"/>
    <cellStyle name="Normal 2 36" xfId="489"/>
    <cellStyle name="Normal 2 37" xfId="490"/>
    <cellStyle name="Normal 2 38" xfId="491"/>
    <cellStyle name="Normal 2 39" xfId="492"/>
    <cellStyle name="Normal 2 4" xfId="493"/>
    <cellStyle name="Normal 2 40" xfId="494"/>
    <cellStyle name="Normal 2 41" xfId="495"/>
    <cellStyle name="Normal 2 42" xfId="496"/>
    <cellStyle name="Normal 2 43" xfId="497"/>
    <cellStyle name="Normal 2 44" xfId="498"/>
    <cellStyle name="Normal 2 45" xfId="499"/>
    <cellStyle name="Normal 2 46" xfId="500"/>
    <cellStyle name="Normal 2 47" xfId="501"/>
    <cellStyle name="Normal 2 48" xfId="502"/>
    <cellStyle name="Normal 2 49" xfId="503"/>
    <cellStyle name="Normal 2 5" xfId="504"/>
    <cellStyle name="Normal 2 6" xfId="505"/>
    <cellStyle name="Normal 2 7" xfId="506"/>
    <cellStyle name="Normal 2 8" xfId="507"/>
    <cellStyle name="Normal 2 9" xfId="508"/>
    <cellStyle name="Normal 20" xfId="509"/>
    <cellStyle name="Normal 20 10" xfId="510"/>
    <cellStyle name="Normal 20 11" xfId="511"/>
    <cellStyle name="Normal 20 12" xfId="512"/>
    <cellStyle name="Normal 20 13" xfId="513"/>
    <cellStyle name="Normal 20 14" xfId="514"/>
    <cellStyle name="Normal 20 15" xfId="515"/>
    <cellStyle name="Normal 20 16" xfId="516"/>
    <cellStyle name="Normal 20 2" xfId="517"/>
    <cellStyle name="Normal 20 3" xfId="518"/>
    <cellStyle name="Normal 20 4" xfId="519"/>
    <cellStyle name="Normal 20 5" xfId="520"/>
    <cellStyle name="Normal 20 6" xfId="521"/>
    <cellStyle name="Normal 20 7" xfId="522"/>
    <cellStyle name="Normal 20 8" xfId="523"/>
    <cellStyle name="Normal 20 9" xfId="524"/>
    <cellStyle name="Normal 21" xfId="525"/>
    <cellStyle name="Normal 21 2" xfId="526"/>
    <cellStyle name="Normal 21 3" xfId="527"/>
    <cellStyle name="Normal 21 4" xfId="528"/>
    <cellStyle name="Normal 21 5" xfId="529"/>
    <cellStyle name="Normal 21 6" xfId="530"/>
    <cellStyle name="Normal 22" xfId="531"/>
    <cellStyle name="Normal 22 10" xfId="532"/>
    <cellStyle name="Normal 22 11" xfId="533"/>
    <cellStyle name="Normal 22 12" xfId="534"/>
    <cellStyle name="Normal 22 13" xfId="535"/>
    <cellStyle name="Normal 22 14" xfId="536"/>
    <cellStyle name="Normal 22 15" xfId="537"/>
    <cellStyle name="Normal 22 16" xfId="538"/>
    <cellStyle name="Normal 22 2" xfId="539"/>
    <cellStyle name="Normal 22 3" xfId="540"/>
    <cellStyle name="Normal 22 4" xfId="541"/>
    <cellStyle name="Normal 22 5" xfId="542"/>
    <cellStyle name="Normal 22 6" xfId="543"/>
    <cellStyle name="Normal 22 7" xfId="544"/>
    <cellStyle name="Normal 22 8" xfId="545"/>
    <cellStyle name="Normal 22 9" xfId="546"/>
    <cellStyle name="Normal 23" xfId="547"/>
    <cellStyle name="Normal 23 10" xfId="548"/>
    <cellStyle name="Normal 23 11" xfId="549"/>
    <cellStyle name="Normal 23 12" xfId="550"/>
    <cellStyle name="Normal 23 13" xfId="551"/>
    <cellStyle name="Normal 23 14" xfId="552"/>
    <cellStyle name="Normal 23 15" xfId="553"/>
    <cellStyle name="Normal 23 16" xfId="554"/>
    <cellStyle name="Normal 23 17" xfId="555"/>
    <cellStyle name="Normal 23 18" xfId="556"/>
    <cellStyle name="Normal 23 2" xfId="557"/>
    <cellStyle name="Normal 23 3" xfId="558"/>
    <cellStyle name="Normal 23 4" xfId="559"/>
    <cellStyle name="Normal 23 5" xfId="560"/>
    <cellStyle name="Normal 23 6" xfId="561"/>
    <cellStyle name="Normal 23 7" xfId="562"/>
    <cellStyle name="Normal 23 8" xfId="563"/>
    <cellStyle name="Normal 23 9" xfId="564"/>
    <cellStyle name="Normal 24" xfId="565"/>
    <cellStyle name="Normal 24 10" xfId="566"/>
    <cellStyle name="Normal 24 11" xfId="567"/>
    <cellStyle name="Normal 24 12" xfId="568"/>
    <cellStyle name="Normal 24 13" xfId="569"/>
    <cellStyle name="Normal 24 14" xfId="570"/>
    <cellStyle name="Normal 24 15" xfId="571"/>
    <cellStyle name="Normal 24 16" xfId="572"/>
    <cellStyle name="Normal 24 17" xfId="573"/>
    <cellStyle name="Normal 24 18" xfId="574"/>
    <cellStyle name="Normal 24 2" xfId="575"/>
    <cellStyle name="Normal 24 3" xfId="576"/>
    <cellStyle name="Normal 24 4" xfId="577"/>
    <cellStyle name="Normal 24 5" xfId="578"/>
    <cellStyle name="Normal 24 6" xfId="579"/>
    <cellStyle name="Normal 24 7" xfId="580"/>
    <cellStyle name="Normal 24 8" xfId="581"/>
    <cellStyle name="Normal 24 9" xfId="582"/>
    <cellStyle name="Normal 25" xfId="583"/>
    <cellStyle name="Normal 25 10" xfId="584"/>
    <cellStyle name="Normal 25 11" xfId="585"/>
    <cellStyle name="Normal 25 12" xfId="586"/>
    <cellStyle name="Normal 25 13" xfId="587"/>
    <cellStyle name="Normal 25 14" xfId="588"/>
    <cellStyle name="Normal 25 15" xfId="589"/>
    <cellStyle name="Normal 25 2" xfId="590"/>
    <cellStyle name="Normal 25 3" xfId="591"/>
    <cellStyle name="Normal 25 4" xfId="592"/>
    <cellStyle name="Normal 25 5" xfId="593"/>
    <cellStyle name="Normal 25 6" xfId="594"/>
    <cellStyle name="Normal 25 7" xfId="595"/>
    <cellStyle name="Normal 25 8" xfId="596"/>
    <cellStyle name="Normal 25 9" xfId="597"/>
    <cellStyle name="Normal 26" xfId="598"/>
    <cellStyle name="Normal 26 10" xfId="599"/>
    <cellStyle name="Normal 26 11" xfId="600"/>
    <cellStyle name="Normal 26 12" xfId="601"/>
    <cellStyle name="Normal 26 13" xfId="602"/>
    <cellStyle name="Normal 26 14" xfId="603"/>
    <cellStyle name="Normal 26 15" xfId="604"/>
    <cellStyle name="Normal 26 16" xfId="605"/>
    <cellStyle name="Normal 26 17" xfId="606"/>
    <cellStyle name="Normal 26 18" xfId="607"/>
    <cellStyle name="Normal 26 2" xfId="608"/>
    <cellStyle name="Normal 26 3" xfId="609"/>
    <cellStyle name="Normal 26 4" xfId="610"/>
    <cellStyle name="Normal 26 5" xfId="611"/>
    <cellStyle name="Normal 26 6" xfId="612"/>
    <cellStyle name="Normal 26 7" xfId="613"/>
    <cellStyle name="Normal 26 8" xfId="614"/>
    <cellStyle name="Normal 26 9" xfId="615"/>
    <cellStyle name="Normal 27" xfId="616"/>
    <cellStyle name="Normal 28" xfId="617"/>
    <cellStyle name="Normal 28 10" xfId="618"/>
    <cellStyle name="Normal 28 11" xfId="619"/>
    <cellStyle name="Normal 28 12" xfId="620"/>
    <cellStyle name="Normal 28 13" xfId="621"/>
    <cellStyle name="Normal 28 14" xfId="622"/>
    <cellStyle name="Normal 28 15" xfId="623"/>
    <cellStyle name="Normal 28 16" xfId="624"/>
    <cellStyle name="Normal 28 17" xfId="625"/>
    <cellStyle name="Normal 28 18" xfId="626"/>
    <cellStyle name="Normal 28 2" xfId="627"/>
    <cellStyle name="Normal 28 3" xfId="628"/>
    <cellStyle name="Normal 28 4" xfId="629"/>
    <cellStyle name="Normal 28 5" xfId="630"/>
    <cellStyle name="Normal 28 6" xfId="631"/>
    <cellStyle name="Normal 28 7" xfId="632"/>
    <cellStyle name="Normal 28 8" xfId="633"/>
    <cellStyle name="Normal 28 9" xfId="634"/>
    <cellStyle name="Normal 29" xfId="635"/>
    <cellStyle name="Normal 29 10" xfId="636"/>
    <cellStyle name="Normal 29 11" xfId="637"/>
    <cellStyle name="Normal 29 12" xfId="638"/>
    <cellStyle name="Normal 29 13" xfId="639"/>
    <cellStyle name="Normal 29 14" xfId="640"/>
    <cellStyle name="Normal 29 15" xfId="641"/>
    <cellStyle name="Normal 29 16" xfId="642"/>
    <cellStyle name="Normal 29 17" xfId="643"/>
    <cellStyle name="Normal 29 18" xfId="644"/>
    <cellStyle name="Normal 29 2" xfId="645"/>
    <cellStyle name="Normal 29 3" xfId="646"/>
    <cellStyle name="Normal 29 4" xfId="647"/>
    <cellStyle name="Normal 29 5" xfId="648"/>
    <cellStyle name="Normal 29 6" xfId="649"/>
    <cellStyle name="Normal 29 7" xfId="650"/>
    <cellStyle name="Normal 29 8" xfId="651"/>
    <cellStyle name="Normal 29 9" xfId="652"/>
    <cellStyle name="Normal 3" xfId="653"/>
    <cellStyle name="Normal 3 10" xfId="654"/>
    <cellStyle name="Normal 3 11" xfId="655"/>
    <cellStyle name="Normal 3 12" xfId="656"/>
    <cellStyle name="Normal 3 13" xfId="657"/>
    <cellStyle name="Normal 3 14" xfId="658"/>
    <cellStyle name="Normal 3 15" xfId="659"/>
    <cellStyle name="Normal 3 2" xfId="660"/>
    <cellStyle name="Normal 3 2 2" xfId="661"/>
    <cellStyle name="Normal 3 2 2 2" xfId="662"/>
    <cellStyle name="Normal 3 3" xfId="663"/>
    <cellStyle name="Normal 3 3 2" xfId="664"/>
    <cellStyle name="Normal 3 4" xfId="665"/>
    <cellStyle name="Normal 3 5" xfId="666"/>
    <cellStyle name="Normal 3 6" xfId="667"/>
    <cellStyle name="Normal 3 7" xfId="668"/>
    <cellStyle name="Normal 3 8" xfId="669"/>
    <cellStyle name="Normal 3 9" xfId="670"/>
    <cellStyle name="Normal 30" xfId="671"/>
    <cellStyle name="Normal 30 10" xfId="672"/>
    <cellStyle name="Normal 30 11" xfId="673"/>
    <cellStyle name="Normal 30 12" xfId="674"/>
    <cellStyle name="Normal 30 13" xfId="675"/>
    <cellStyle name="Normal 30 14" xfId="676"/>
    <cellStyle name="Normal 30 15" xfId="677"/>
    <cellStyle name="Normal 30 16" xfId="678"/>
    <cellStyle name="Normal 30 17" xfId="679"/>
    <cellStyle name="Normal 30 18" xfId="680"/>
    <cellStyle name="Normal 30 2" xfId="681"/>
    <cellStyle name="Normal 30 21" xfId="682"/>
    <cellStyle name="Normal 30 3" xfId="683"/>
    <cellStyle name="Normal 30 4" xfId="684"/>
    <cellStyle name="Normal 30 5" xfId="685"/>
    <cellStyle name="Normal 30 6" xfId="686"/>
    <cellStyle name="Normal 30 7" xfId="687"/>
    <cellStyle name="Normal 30 8" xfId="688"/>
    <cellStyle name="Normal 30 9" xfId="689"/>
    <cellStyle name="Normal 31" xfId="690"/>
    <cellStyle name="Normal 31 10" xfId="691"/>
    <cellStyle name="Normal 31 11" xfId="692"/>
    <cellStyle name="Normal 31 12" xfId="693"/>
    <cellStyle name="Normal 31 13" xfId="694"/>
    <cellStyle name="Normal 31 14" xfId="695"/>
    <cellStyle name="Normal 31 15" xfId="696"/>
    <cellStyle name="Normal 31 2" xfId="697"/>
    <cellStyle name="Normal 31 3" xfId="698"/>
    <cellStyle name="Normal 31 4" xfId="699"/>
    <cellStyle name="Normal 31 5" xfId="700"/>
    <cellStyle name="Normal 31 6" xfId="701"/>
    <cellStyle name="Normal 31 7" xfId="702"/>
    <cellStyle name="Normal 31 8" xfId="703"/>
    <cellStyle name="Normal 31 9" xfId="704"/>
    <cellStyle name="Normal 32" xfId="705"/>
    <cellStyle name="Normal 32 2" xfId="706"/>
    <cellStyle name="Normal 32_PI2 URFOOLs-Anomalies-Database" xfId="707"/>
    <cellStyle name="Normal 33" xfId="708"/>
    <cellStyle name="Normal 33 2" xfId="709"/>
    <cellStyle name="Normal 33 3" xfId="710"/>
    <cellStyle name="Normal 34" xfId="711"/>
    <cellStyle name="Normal 34 10" xfId="712"/>
    <cellStyle name="Normal 34 11" xfId="713"/>
    <cellStyle name="Normal 34 12" xfId="714"/>
    <cellStyle name="Normal 34 13" xfId="715"/>
    <cellStyle name="Normal 34 14" xfId="716"/>
    <cellStyle name="Normal 34 15" xfId="717"/>
    <cellStyle name="Normal 34 2" xfId="718"/>
    <cellStyle name="Normal 34 3" xfId="719"/>
    <cellStyle name="Normal 34 4" xfId="720"/>
    <cellStyle name="Normal 34 5" xfId="721"/>
    <cellStyle name="Normal 34 6" xfId="722"/>
    <cellStyle name="Normal 34 7" xfId="723"/>
    <cellStyle name="Normal 34 8" xfId="724"/>
    <cellStyle name="Normal 34 9" xfId="725"/>
    <cellStyle name="Normal 35" xfId="726"/>
    <cellStyle name="Normal 35 10" xfId="727"/>
    <cellStyle name="Normal 35 11" xfId="728"/>
    <cellStyle name="Normal 35 12" xfId="729"/>
    <cellStyle name="Normal 35 13" xfId="730"/>
    <cellStyle name="Normal 35 14" xfId="731"/>
    <cellStyle name="Normal 35 15" xfId="732"/>
    <cellStyle name="Normal 35 2" xfId="733"/>
    <cellStyle name="Normal 35 3" xfId="734"/>
    <cellStyle name="Normal 35 4" xfId="735"/>
    <cellStyle name="Normal 35 5" xfId="736"/>
    <cellStyle name="Normal 35 6" xfId="737"/>
    <cellStyle name="Normal 35 7" xfId="738"/>
    <cellStyle name="Normal 35 8" xfId="739"/>
    <cellStyle name="Normal 35 9" xfId="740"/>
    <cellStyle name="Normal 36" xfId="741"/>
    <cellStyle name="Normal 36 10" xfId="742"/>
    <cellStyle name="Normal 36 11" xfId="743"/>
    <cellStyle name="Normal 36 12" xfId="744"/>
    <cellStyle name="Normal 36 13" xfId="745"/>
    <cellStyle name="Normal 36 14" xfId="746"/>
    <cellStyle name="Normal 36 15" xfId="747"/>
    <cellStyle name="Normal 36 2" xfId="748"/>
    <cellStyle name="Normal 36 3" xfId="749"/>
    <cellStyle name="Normal 36 4" xfId="750"/>
    <cellStyle name="Normal 36 5" xfId="751"/>
    <cellStyle name="Normal 36 6" xfId="752"/>
    <cellStyle name="Normal 36 7" xfId="753"/>
    <cellStyle name="Normal 36 8" xfId="754"/>
    <cellStyle name="Normal 36 9" xfId="755"/>
    <cellStyle name="Normal 37" xfId="756"/>
    <cellStyle name="Normal 37 10" xfId="757"/>
    <cellStyle name="Normal 37 10 2" xfId="758"/>
    <cellStyle name="Normal 37 11" xfId="759"/>
    <cellStyle name="Normal 37 11 2" xfId="760"/>
    <cellStyle name="Normal 37 12" xfId="761"/>
    <cellStyle name="Normal 37 12 2" xfId="762"/>
    <cellStyle name="Normal 37 13" xfId="763"/>
    <cellStyle name="Normal 37 13 2" xfId="764"/>
    <cellStyle name="Normal 37 14" xfId="765"/>
    <cellStyle name="Normal 37 14 2" xfId="766"/>
    <cellStyle name="Normal 37 15" xfId="767"/>
    <cellStyle name="Normal 37 15 2" xfId="768"/>
    <cellStyle name="Normal 37 2" xfId="769"/>
    <cellStyle name="Normal 37 2 2" xfId="770"/>
    <cellStyle name="Normal 37 3" xfId="771"/>
    <cellStyle name="Normal 37 3 2" xfId="772"/>
    <cellStyle name="Normal 37 4" xfId="773"/>
    <cellStyle name="Normal 37 4 2" xfId="774"/>
    <cellStyle name="Normal 37 5" xfId="775"/>
    <cellStyle name="Normal 37 5 2" xfId="776"/>
    <cellStyle name="Normal 37 6" xfId="777"/>
    <cellStyle name="Normal 37 6 2" xfId="778"/>
    <cellStyle name="Normal 37 7" xfId="779"/>
    <cellStyle name="Normal 37 7 2" xfId="780"/>
    <cellStyle name="Normal 37 8" xfId="781"/>
    <cellStyle name="Normal 37 8 2" xfId="782"/>
    <cellStyle name="Normal 37 9" xfId="783"/>
    <cellStyle name="Normal 37 9 2" xfId="784"/>
    <cellStyle name="Normal 38" xfId="785"/>
    <cellStyle name="Normal 38 10" xfId="786"/>
    <cellStyle name="Normal 38 10 2" xfId="787"/>
    <cellStyle name="Normal 38 11" xfId="788"/>
    <cellStyle name="Normal 38 11 2" xfId="789"/>
    <cellStyle name="Normal 38 12" xfId="790"/>
    <cellStyle name="Normal 38 12 2" xfId="791"/>
    <cellStyle name="Normal 38 13" xfId="792"/>
    <cellStyle name="Normal 38 13 2" xfId="793"/>
    <cellStyle name="Normal 38 14" xfId="794"/>
    <cellStyle name="Normal 38 14 2" xfId="795"/>
    <cellStyle name="Normal 38 15" xfId="796"/>
    <cellStyle name="Normal 38 15 2" xfId="797"/>
    <cellStyle name="Normal 38 2" xfId="798"/>
    <cellStyle name="Normal 38 2 2" xfId="799"/>
    <cellStyle name="Normal 38 3" xfId="800"/>
    <cellStyle name="Normal 38 3 2" xfId="801"/>
    <cellStyle name="Normal 38 4" xfId="802"/>
    <cellStyle name="Normal 38 4 2" xfId="803"/>
    <cellStyle name="Normal 38 5" xfId="804"/>
    <cellStyle name="Normal 38 5 2" xfId="805"/>
    <cellStyle name="Normal 38 6" xfId="806"/>
    <cellStyle name="Normal 38 6 2" xfId="807"/>
    <cellStyle name="Normal 38 7" xfId="808"/>
    <cellStyle name="Normal 38 7 2" xfId="809"/>
    <cellStyle name="Normal 38 8" xfId="810"/>
    <cellStyle name="Normal 38 8 2" xfId="811"/>
    <cellStyle name="Normal 38 9" xfId="812"/>
    <cellStyle name="Normal 38 9 2" xfId="813"/>
    <cellStyle name="Normal 39" xfId="814"/>
    <cellStyle name="Normal 39 10" xfId="815"/>
    <cellStyle name="Normal 39 10 2" xfId="816"/>
    <cellStyle name="Normal 39 11" xfId="817"/>
    <cellStyle name="Normal 39 11 2" xfId="818"/>
    <cellStyle name="Normal 39 12" xfId="819"/>
    <cellStyle name="Normal 39 12 2" xfId="820"/>
    <cellStyle name="Normal 39 13" xfId="821"/>
    <cellStyle name="Normal 39 13 2" xfId="822"/>
    <cellStyle name="Normal 39 14" xfId="823"/>
    <cellStyle name="Normal 39 14 2" xfId="824"/>
    <cellStyle name="Normal 39 15" xfId="825"/>
    <cellStyle name="Normal 39 15 2" xfId="826"/>
    <cellStyle name="Normal 39 16" xfId="827"/>
    <cellStyle name="Normal 39 16 2" xfId="828"/>
    <cellStyle name="Normal 39 17" xfId="829"/>
    <cellStyle name="Normal 39 17 2" xfId="830"/>
    <cellStyle name="Normal 39 18" xfId="831"/>
    <cellStyle name="Normal 39 18 2" xfId="832"/>
    <cellStyle name="Normal 39 19" xfId="833"/>
    <cellStyle name="Normal 39 2" xfId="834"/>
    <cellStyle name="Normal 39 2 2" xfId="835"/>
    <cellStyle name="Normal 39 3" xfId="836"/>
    <cellStyle name="Normal 39 3 2" xfId="837"/>
    <cellStyle name="Normal 39 4" xfId="838"/>
    <cellStyle name="Normal 39 4 2" xfId="839"/>
    <cellStyle name="Normal 39 5" xfId="840"/>
    <cellStyle name="Normal 39 5 2" xfId="841"/>
    <cellStyle name="Normal 39 6" xfId="842"/>
    <cellStyle name="Normal 39 6 2" xfId="843"/>
    <cellStyle name="Normal 39 7" xfId="844"/>
    <cellStyle name="Normal 39 7 2" xfId="845"/>
    <cellStyle name="Normal 39 8" xfId="846"/>
    <cellStyle name="Normal 39 8 2" xfId="847"/>
    <cellStyle name="Normal 39 9" xfId="848"/>
    <cellStyle name="Normal 39 9 2" xfId="849"/>
    <cellStyle name="Normal 4" xfId="850"/>
    <cellStyle name="Normal 4 2" xfId="851"/>
    <cellStyle name="Normal 4 2 2" xfId="852"/>
    <cellStyle name="Normal 4 3" xfId="853"/>
    <cellStyle name="Normal 40" xfId="854"/>
    <cellStyle name="Normal 41" xfId="855"/>
    <cellStyle name="Normal 41 2" xfId="856"/>
    <cellStyle name="Normal 42" xfId="857"/>
    <cellStyle name="Normal 43" xfId="858"/>
    <cellStyle name="Normal 44" xfId="859"/>
    <cellStyle name="Normal 45" xfId="860"/>
    <cellStyle name="Normal 46" xfId="861"/>
    <cellStyle name="Normal 46 2" xfId="862"/>
    <cellStyle name="Normal 47" xfId="863"/>
    <cellStyle name="Normal 48" xfId="864"/>
    <cellStyle name="Normal 49" xfId="865"/>
    <cellStyle name="Normal 5" xfId="866"/>
    <cellStyle name="Normal 5 10" xfId="867"/>
    <cellStyle name="Normal 5 11" xfId="868"/>
    <cellStyle name="Normal 5 12" xfId="869"/>
    <cellStyle name="Normal 5 13" xfId="870"/>
    <cellStyle name="Normal 5 14" xfId="871"/>
    <cellStyle name="Normal 5 15" xfId="872"/>
    <cellStyle name="Normal 5 16" xfId="873"/>
    <cellStyle name="Normal 5 17" xfId="874"/>
    <cellStyle name="Normal 5 18" xfId="875"/>
    <cellStyle name="Normal 5 19" xfId="876"/>
    <cellStyle name="Normal 5 2" xfId="877"/>
    <cellStyle name="Normal 5 2 2" xfId="878"/>
    <cellStyle name="Normal 5 20" xfId="879"/>
    <cellStyle name="Normal 5 21" xfId="880"/>
    <cellStyle name="Normal 5 22" xfId="881"/>
    <cellStyle name="Normal 5 23" xfId="882"/>
    <cellStyle name="Normal 5 24" xfId="883"/>
    <cellStyle name="Normal 5 25" xfId="884"/>
    <cellStyle name="Normal 5 3" xfId="885"/>
    <cellStyle name="Normal 5 4" xfId="886"/>
    <cellStyle name="Normal 5 5" xfId="887"/>
    <cellStyle name="Normal 5 6" xfId="888"/>
    <cellStyle name="Normal 5 7" xfId="889"/>
    <cellStyle name="Normal 5 8" xfId="890"/>
    <cellStyle name="Normal 5 9" xfId="891"/>
    <cellStyle name="Normal 50" xfId="892"/>
    <cellStyle name="Normal 50 2" xfId="893"/>
    <cellStyle name="Normal 50 2 2" xfId="894"/>
    <cellStyle name="Normal 50 2 3" xfId="895"/>
    <cellStyle name="Normal 50 3" xfId="896"/>
    <cellStyle name="Normal 50 4" xfId="897"/>
    <cellStyle name="Normal 51" xfId="898"/>
    <cellStyle name="Normal 52" xfId="899"/>
    <cellStyle name="Normal 53" xfId="900"/>
    <cellStyle name="Normal 53 2" xfId="901"/>
    <cellStyle name="Normal 53 2 2" xfId="902"/>
    <cellStyle name="Normal 53 2 3" xfId="903"/>
    <cellStyle name="Normal 53 3" xfId="904"/>
    <cellStyle name="Normal 53 4" xfId="905"/>
    <cellStyle name="Normal 54" xfId="906"/>
    <cellStyle name="Normal 54 2" xfId="907"/>
    <cellStyle name="Normal 54 2 2" xfId="908"/>
    <cellStyle name="Normal 54 2 3" xfId="909"/>
    <cellStyle name="Normal 54 3" xfId="910"/>
    <cellStyle name="Normal 55" xfId="911"/>
    <cellStyle name="Normal 55 2" xfId="912"/>
    <cellStyle name="Normal 55 2 2" xfId="913"/>
    <cellStyle name="Normal 55 2 3" xfId="914"/>
    <cellStyle name="Normal 55 3" xfId="915"/>
    <cellStyle name="Normal 56" xfId="916"/>
    <cellStyle name="Normal 57" xfId="917"/>
    <cellStyle name="Normal 58" xfId="918"/>
    <cellStyle name="Normal 59" xfId="919"/>
    <cellStyle name="Normal 59 2" xfId="920"/>
    <cellStyle name="Normal 59 2 2" xfId="921"/>
    <cellStyle name="Normal 59 2 3" xfId="922"/>
    <cellStyle name="Normal 59 3" xfId="923"/>
    <cellStyle name="Normal 6" xfId="924"/>
    <cellStyle name="Normal 6 10" xfId="925"/>
    <cellStyle name="Normal 6 11" xfId="926"/>
    <cellStyle name="Normal 6 12" xfId="927"/>
    <cellStyle name="Normal 6 13" xfId="928"/>
    <cellStyle name="Normal 6 14" xfId="929"/>
    <cellStyle name="Normal 6 15" xfId="930"/>
    <cellStyle name="Normal 6 16" xfId="931"/>
    <cellStyle name="Normal 6 2" xfId="932"/>
    <cellStyle name="Normal 6 2 2" xfId="933"/>
    <cellStyle name="Normal 6 3" xfId="934"/>
    <cellStyle name="Normal 6 3 2" xfId="935"/>
    <cellStyle name="Normal 6 3 2 2" xfId="936"/>
    <cellStyle name="Normal 6 3 3" xfId="937"/>
    <cellStyle name="Normal 6 4" xfId="938"/>
    <cellStyle name="Normal 6 4 2" xfId="939"/>
    <cellStyle name="Normal 6 4 2 2" xfId="940"/>
    <cellStyle name="Normal 6 4 3" xfId="941"/>
    <cellStyle name="Normal 6 5" xfId="942"/>
    <cellStyle name="Normal 6 5 2" xfId="943"/>
    <cellStyle name="Normal 6 6" xfId="944"/>
    <cellStyle name="Normal 6 6 2" xfId="945"/>
    <cellStyle name="Normal 6 7" xfId="946"/>
    <cellStyle name="Normal 6 8" xfId="947"/>
    <cellStyle name="Normal 6 9" xfId="948"/>
    <cellStyle name="Normal 60" xfId="949"/>
    <cellStyle name="Normal 60 2" xfId="950"/>
    <cellStyle name="Normal 60 3" xfId="951"/>
    <cellStyle name="Normal 60 3 2" xfId="952"/>
    <cellStyle name="Normal 60 3 3" xfId="953"/>
    <cellStyle name="Normal 60 3 3 2" xfId="954"/>
    <cellStyle name="Normal 61" xfId="955"/>
    <cellStyle name="Normal 61 2" xfId="956"/>
    <cellStyle name="Normal 61 3" xfId="957"/>
    <cellStyle name="Normal 61 3 2" xfId="958"/>
    <cellStyle name="Normal 61 3 3" xfId="959"/>
    <cellStyle name="Normal 61 3 3 2" xfId="960"/>
    <cellStyle name="Normal 62" xfId="961"/>
    <cellStyle name="Normal 62 2" xfId="962"/>
    <cellStyle name="Normal 62 3" xfId="963"/>
    <cellStyle name="Normal 62 3 2" xfId="964"/>
    <cellStyle name="Normal 62 3 3" xfId="965"/>
    <cellStyle name="Normal 62 3 3 2" xfId="966"/>
    <cellStyle name="Normal 63" xfId="967"/>
    <cellStyle name="Normal 63 2" xfId="968"/>
    <cellStyle name="Normal 63 3" xfId="969"/>
    <cellStyle name="Normal 63 3 2" xfId="970"/>
    <cellStyle name="Normal 63 3 3" xfId="971"/>
    <cellStyle name="Normal 63 3 3 2" xfId="972"/>
    <cellStyle name="Normal 64" xfId="973"/>
    <cellStyle name="Normal 64 2" xfId="974"/>
    <cellStyle name="Normal 64 3" xfId="975"/>
    <cellStyle name="Normal 64 3 2" xfId="976"/>
    <cellStyle name="Normal 64 3 3" xfId="977"/>
    <cellStyle name="Normal 64 3 3 2" xfId="978"/>
    <cellStyle name="Normal 65" xfId="979"/>
    <cellStyle name="Normal 65 2" xfId="980"/>
    <cellStyle name="Normal 65 3" xfId="981"/>
    <cellStyle name="Normal 65 3 2" xfId="982"/>
    <cellStyle name="Normal 65 3 3" xfId="983"/>
    <cellStyle name="Normal 65 3 3 2" xfId="984"/>
    <cellStyle name="Normal 66" xfId="985"/>
    <cellStyle name="Normal 66 2" xfId="986"/>
    <cellStyle name="Normal 66 3" xfId="987"/>
    <cellStyle name="Normal 66 3 2" xfId="988"/>
    <cellStyle name="Normal 66 3 3" xfId="989"/>
    <cellStyle name="Normal 66 3 3 2" xfId="990"/>
    <cellStyle name="Normal 67" xfId="991"/>
    <cellStyle name="Normal 67 2" xfId="992"/>
    <cellStyle name="Normal 67 3" xfId="993"/>
    <cellStyle name="Normal 67 3 2" xfId="994"/>
    <cellStyle name="Normal 67 3 3" xfId="995"/>
    <cellStyle name="Normal 67 3 3 2" xfId="996"/>
    <cellStyle name="Normal 68" xfId="997"/>
    <cellStyle name="Normal 68 2" xfId="998"/>
    <cellStyle name="Normal 68 3" xfId="999"/>
    <cellStyle name="Normal 68 3 2" xfId="1000"/>
    <cellStyle name="Normal 68 3 3" xfId="1001"/>
    <cellStyle name="Normal 68 3 3 2" xfId="1002"/>
    <cellStyle name="Normal 69" xfId="1003"/>
    <cellStyle name="Normal 69 2" xfId="1004"/>
    <cellStyle name="Normal 69 3" xfId="1005"/>
    <cellStyle name="Normal 69 3 2" xfId="1006"/>
    <cellStyle name="Normal 69 3 3" xfId="1007"/>
    <cellStyle name="Normal 69 3 3 2" xfId="1008"/>
    <cellStyle name="Normal 7" xfId="1009"/>
    <cellStyle name="Normal 7 2" xfId="1010"/>
    <cellStyle name="Normal 7 2 2" xfId="1011"/>
    <cellStyle name="Normal 7 3" xfId="1012"/>
    <cellStyle name="Normal 7 4" xfId="1013"/>
    <cellStyle name="Normal 7 5" xfId="1014"/>
    <cellStyle name="Normal 70" xfId="1015"/>
    <cellStyle name="Normal 70 2" xfId="1016"/>
    <cellStyle name="Normal 70 3" xfId="1017"/>
    <cellStyle name="Normal 70 3 2" xfId="1018"/>
    <cellStyle name="Normal 70 3 3" xfId="1019"/>
    <cellStyle name="Normal 70 3 3 2" xfId="1020"/>
    <cellStyle name="Normal 71" xfId="1021"/>
    <cellStyle name="Normal 71 2" xfId="1022"/>
    <cellStyle name="Normal 71 3" xfId="1023"/>
    <cellStyle name="Normal 71 3 2" xfId="1024"/>
    <cellStyle name="Normal 71 3 3" xfId="1025"/>
    <cellStyle name="Normal 71 3 3 2" xfId="1026"/>
    <cellStyle name="Normal 72" xfId="1027"/>
    <cellStyle name="Normal 72 2" xfId="1028"/>
    <cellStyle name="Normal 72 3" xfId="1029"/>
    <cellStyle name="Normal 72 3 2" xfId="1030"/>
    <cellStyle name="Normal 72 3 3" xfId="1031"/>
    <cellStyle name="Normal 72 3 3 2" xfId="1032"/>
    <cellStyle name="Normal 73" xfId="1033"/>
    <cellStyle name="Normal 73 2" xfId="1034"/>
    <cellStyle name="Normal 73 3" xfId="1035"/>
    <cellStyle name="Normal 73 3 2" xfId="1036"/>
    <cellStyle name="Normal 73 3 3" xfId="1037"/>
    <cellStyle name="Normal 73 3 3 2" xfId="1038"/>
    <cellStyle name="Normal 74" xfId="1039"/>
    <cellStyle name="Normal 74 2" xfId="1040"/>
    <cellStyle name="Normal 74 3" xfId="1041"/>
    <cellStyle name="Normal 74 3 2" xfId="1042"/>
    <cellStyle name="Normal 74 3 3" xfId="1043"/>
    <cellStyle name="Normal 74 3 3 2" xfId="1044"/>
    <cellStyle name="Normal 75" xfId="1045"/>
    <cellStyle name="Normal 75 2" xfId="1046"/>
    <cellStyle name="Normal 75 3" xfId="1047"/>
    <cellStyle name="Normal 75 3 2" xfId="1048"/>
    <cellStyle name="Normal 75 3 3" xfId="1049"/>
    <cellStyle name="Normal 75 3 3 2" xfId="1050"/>
    <cellStyle name="Normal 76" xfId="1051"/>
    <cellStyle name="Normal 76 2" xfId="1052"/>
    <cellStyle name="Normal 76 3" xfId="1053"/>
    <cellStyle name="Normal 76 3 2" xfId="1054"/>
    <cellStyle name="Normal 76 3 3" xfId="1055"/>
    <cellStyle name="Normal 76 3 3 2" xfId="1056"/>
    <cellStyle name="Normal 77" xfId="1057"/>
    <cellStyle name="Normal 77 2" xfId="1058"/>
    <cellStyle name="Normal 77 3" xfId="1059"/>
    <cellStyle name="Normal 77 3 2" xfId="1060"/>
    <cellStyle name="Normal 77 3 3" xfId="1061"/>
    <cellStyle name="Normal 77 3 3 2" xfId="1062"/>
    <cellStyle name="Normal 78" xfId="1063"/>
    <cellStyle name="Normal 78 2" xfId="1064"/>
    <cellStyle name="Normal 78 3" xfId="1065"/>
    <cellStyle name="Normal 78 3 2" xfId="1066"/>
    <cellStyle name="Normal 78 3 3" xfId="1067"/>
    <cellStyle name="Normal 78 3 3 2" xfId="1068"/>
    <cellStyle name="Normal 79" xfId="1069"/>
    <cellStyle name="Normal 79 2" xfId="1070"/>
    <cellStyle name="Normal 79 3" xfId="1071"/>
    <cellStyle name="Normal 79 3 2" xfId="1072"/>
    <cellStyle name="Normal 79 3 3" xfId="1073"/>
    <cellStyle name="Normal 79 3 3 2" xfId="1074"/>
    <cellStyle name="Normal 8" xfId="1075"/>
    <cellStyle name="Normal 8 2" xfId="1076"/>
    <cellStyle name="Normal 8 3" xfId="1077"/>
    <cellStyle name="Normal 8 4" xfId="1078"/>
    <cellStyle name="Normal 8 5" xfId="1079"/>
    <cellStyle name="Normal 8 6" xfId="1080"/>
    <cellStyle name="Normal 80" xfId="1081"/>
    <cellStyle name="Normal 80 2" xfId="1082"/>
    <cellStyle name="Normal 80 3" xfId="1083"/>
    <cellStyle name="Normal 80 3 2" xfId="1084"/>
    <cellStyle name="Normal 80 3 3" xfId="1085"/>
    <cellStyle name="Normal 80 3 3 2" xfId="1086"/>
    <cellStyle name="Normal 81" xfId="1087"/>
    <cellStyle name="Normal 81 2" xfId="1088"/>
    <cellStyle name="Normal 81 3" xfId="1089"/>
    <cellStyle name="Normal 81 3 2" xfId="1090"/>
    <cellStyle name="Normal 81 3 3" xfId="1091"/>
    <cellStyle name="Normal 81 3 3 2" xfId="1092"/>
    <cellStyle name="Normal 82" xfId="1093"/>
    <cellStyle name="Normal 82 2" xfId="1094"/>
    <cellStyle name="Normal 82 3" xfId="1095"/>
    <cellStyle name="Normal 82 3 2" xfId="1096"/>
    <cellStyle name="Normal 82 3 3" xfId="1097"/>
    <cellStyle name="Normal 82 3 3 2" xfId="1098"/>
    <cellStyle name="Normal 83" xfId="1099"/>
    <cellStyle name="Normal 83 2" xfId="1100"/>
    <cellStyle name="Normal 83 3" xfId="1101"/>
    <cellStyle name="Normal 83 3 2" xfId="1102"/>
    <cellStyle name="Normal 83 3 3" xfId="1103"/>
    <cellStyle name="Normal 83 3 3 2" xfId="1104"/>
    <cellStyle name="Normal 84" xfId="1105"/>
    <cellStyle name="Normal 84 2" xfId="1106"/>
    <cellStyle name="Normal 84 3" xfId="1107"/>
    <cellStyle name="Normal 84 3 2" xfId="1108"/>
    <cellStyle name="Normal 84 3 3" xfId="1109"/>
    <cellStyle name="Normal 84 3 3 2" xfId="1110"/>
    <cellStyle name="Normal 85" xfId="1111"/>
    <cellStyle name="Normal 85 2" xfId="1112"/>
    <cellStyle name="Normal 85 3" xfId="1113"/>
    <cellStyle name="Normal 85 3 2" xfId="1114"/>
    <cellStyle name="Normal 85 3 3" xfId="1115"/>
    <cellStyle name="Normal 85 3 3 2" xfId="1116"/>
    <cellStyle name="Normal 86" xfId="1117"/>
    <cellStyle name="Normal 86 2" xfId="1118"/>
    <cellStyle name="Normal 86 3" xfId="1119"/>
    <cellStyle name="Normal 86 3 2" xfId="1120"/>
    <cellStyle name="Normal 86 3 3" xfId="1121"/>
    <cellStyle name="Normal 86 3 3 2" xfId="1122"/>
    <cellStyle name="Normal 87" xfId="1123"/>
    <cellStyle name="Normal 87 2" xfId="1124"/>
    <cellStyle name="Normal 87 3" xfId="1125"/>
    <cellStyle name="Normal 87 3 2" xfId="1126"/>
    <cellStyle name="Normal 87 3 3" xfId="1127"/>
    <cellStyle name="Normal 87 3 3 2" xfId="1128"/>
    <cellStyle name="Normal 88" xfId="1129"/>
    <cellStyle name="Normal 88 2" xfId="1130"/>
    <cellStyle name="Normal 88 3" xfId="1131"/>
    <cellStyle name="Normal 88 3 2" xfId="1132"/>
    <cellStyle name="Normal 88 3 3" xfId="1133"/>
    <cellStyle name="Normal 88 3 3 2" xfId="1134"/>
    <cellStyle name="Normal 89" xfId="1135"/>
    <cellStyle name="Normal 89 2" xfId="1136"/>
    <cellStyle name="Normal 89 3" xfId="1137"/>
    <cellStyle name="Normal 89 3 2" xfId="1138"/>
    <cellStyle name="Normal 89 3 3" xfId="1139"/>
    <cellStyle name="Normal 89 3 3 2" xfId="1140"/>
    <cellStyle name="Normal 9" xfId="1141"/>
    <cellStyle name="Normal 9 2" xfId="1142"/>
    <cellStyle name="Normal 9 2 2" xfId="1143"/>
    <cellStyle name="Normal 9 3" xfId="1144"/>
    <cellStyle name="Normal 9 3 2" xfId="1145"/>
    <cellStyle name="Normal 9 4" xfId="1146"/>
    <cellStyle name="Normal 9 5" xfId="1147"/>
    <cellStyle name="Normal 90" xfId="1148"/>
    <cellStyle name="Normal 90 2" xfId="1149"/>
    <cellStyle name="Normal 90 3" xfId="1150"/>
    <cellStyle name="Normal 90 3 2" xfId="1151"/>
    <cellStyle name="Normal 90 3 3" xfId="1152"/>
    <cellStyle name="Normal 90 3 3 2" xfId="1153"/>
    <cellStyle name="Normal 91" xfId="1154"/>
    <cellStyle name="Normal 91 2" xfId="1155"/>
    <cellStyle name="Normal 91 3" xfId="1156"/>
    <cellStyle name="Normal 91 3 2" xfId="1157"/>
    <cellStyle name="Normal 91 3 3" xfId="1158"/>
    <cellStyle name="Normal 91 3 3 2" xfId="1159"/>
    <cellStyle name="Normal 92" xfId="1160"/>
    <cellStyle name="Normal 92 2" xfId="1161"/>
    <cellStyle name="Normal 92 3" xfId="1162"/>
    <cellStyle name="Normal 92 3 2" xfId="1163"/>
    <cellStyle name="Normal 92 3 3" xfId="1164"/>
    <cellStyle name="Normal 92 3 3 2" xfId="1165"/>
    <cellStyle name="Normal 93" xfId="1166"/>
    <cellStyle name="Normal 93 2" xfId="1167"/>
    <cellStyle name="Normal 93 3" xfId="1168"/>
    <cellStyle name="Normal 93 3 2" xfId="1169"/>
    <cellStyle name="Normal 93 3 3" xfId="1170"/>
    <cellStyle name="Normal 93 3 3 2" xfId="1171"/>
    <cellStyle name="Normal 94" xfId="1172"/>
    <cellStyle name="Normal 94 2" xfId="1173"/>
    <cellStyle name="Normal 94 3" xfId="1174"/>
    <cellStyle name="Normal 94 3 2" xfId="1175"/>
    <cellStyle name="Normal 94 3 3" xfId="1176"/>
    <cellStyle name="Normal 94 3 3 2" xfId="1177"/>
    <cellStyle name="Normal 95" xfId="1178"/>
    <cellStyle name="Normal 95 2" xfId="1179"/>
    <cellStyle name="Normal 95 3" xfId="1180"/>
    <cellStyle name="Normal 95 3 2" xfId="1181"/>
    <cellStyle name="Normal 95 3 3" xfId="1182"/>
    <cellStyle name="Normal 95 3 3 2" xfId="1183"/>
    <cellStyle name="Normal 96" xfId="1184"/>
    <cellStyle name="Normal 96 2" xfId="1185"/>
    <cellStyle name="Normal 96 3" xfId="1186"/>
    <cellStyle name="Normal 96 3 2" xfId="1187"/>
    <cellStyle name="Normal 96 3 3" xfId="1188"/>
    <cellStyle name="Normal 96 3 3 2" xfId="1189"/>
    <cellStyle name="Normal 97" xfId="1190"/>
    <cellStyle name="Normal 97 2" xfId="1191"/>
    <cellStyle name="Normal 97 3" xfId="1192"/>
    <cellStyle name="Normal 97 3 2" xfId="1193"/>
    <cellStyle name="Normal 97 3 3" xfId="1194"/>
    <cellStyle name="Normal 97 3 3 2" xfId="1195"/>
    <cellStyle name="Normal 98" xfId="1196"/>
    <cellStyle name="Normal 98 2" xfId="1197"/>
    <cellStyle name="Normal 98 3" xfId="1198"/>
    <cellStyle name="Normal 98 3 2" xfId="1199"/>
    <cellStyle name="Normal 98 3 3" xfId="1200"/>
    <cellStyle name="Normal 98 3 3 2" xfId="1201"/>
    <cellStyle name="Normal 99" xfId="1202"/>
    <cellStyle name="Normal 99 2" xfId="1203"/>
    <cellStyle name="Normal 99 3" xfId="1204"/>
    <cellStyle name="Normal 99 3 2" xfId="1205"/>
    <cellStyle name="Normal 99 3 3" xfId="1206"/>
    <cellStyle name="Normal 99 3 3 2" xfId="1207"/>
    <cellStyle name="Note 2" xfId="1208"/>
    <cellStyle name="Note 2 2" xfId="1209"/>
    <cellStyle name="Note 2 2 2" xfId="1210"/>
    <cellStyle name="Note 2 3" xfId="1211"/>
    <cellStyle name="Note 2 3 2" xfId="1212"/>
    <cellStyle name="Note 2 4" xfId="1213"/>
    <cellStyle name="Note 3" xfId="1214"/>
    <cellStyle name="Note 3 2" xfId="1215"/>
    <cellStyle name="Note 3 2 2" xfId="1216"/>
    <cellStyle name="Note 3 3" xfId="1217"/>
    <cellStyle name="Output 2" xfId="1218"/>
    <cellStyle name="Output 2 2" xfId="1219"/>
    <cellStyle name="Output 2 2 2" xfId="1220"/>
    <cellStyle name="Output 2 3" xfId="1221"/>
    <cellStyle name="Output 3" xfId="1222"/>
    <cellStyle name="Output 3 2" xfId="1223"/>
    <cellStyle name="Output 3 2 2" xfId="1224"/>
    <cellStyle name="Output 3 3" xfId="1225"/>
    <cellStyle name="Title 2" xfId="1226"/>
    <cellStyle name="Title 2 2" xfId="1227"/>
    <cellStyle name="Title 2 2 2" xfId="1228"/>
    <cellStyle name="Title 2 3" xfId="1229"/>
    <cellStyle name="Title 3" xfId="1230"/>
    <cellStyle name="Title 3 2" xfId="1231"/>
    <cellStyle name="Title 3 2 2" xfId="1232"/>
    <cellStyle name="Title 3 3" xfId="1233"/>
    <cellStyle name="Total 2" xfId="1234"/>
    <cellStyle name="Total 2 2" xfId="1235"/>
    <cellStyle name="Total 2 2 2" xfId="1236"/>
    <cellStyle name="Total 2 3" xfId="1237"/>
    <cellStyle name="Total 3" xfId="1238"/>
    <cellStyle name="Total 3 2" xfId="1239"/>
    <cellStyle name="Total 3 2 2" xfId="1240"/>
    <cellStyle name="Total 3 3" xfId="1241"/>
    <cellStyle name="Total 3 3 2" xfId="1242"/>
    <cellStyle name="Total 3 4" xfId="1243"/>
    <cellStyle name="Warning Text 2" xfId="1244"/>
    <cellStyle name="Warning Text 2 2" xfId="1245"/>
    <cellStyle name="Warning Text 2 2 2" xfId="1246"/>
    <cellStyle name="Warning Text 2 3" xfId="1247"/>
    <cellStyle name="Warning Text 3" xfId="1248"/>
    <cellStyle name="Warning Text 3 2" xfId="1249"/>
    <cellStyle name="Warning Text 3 2 2" xfId="1250"/>
    <cellStyle name="Warning Text 3 3" xfId="12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0"/>
  <sheetViews>
    <sheetView topLeftCell="A42" workbookViewId="0">
      <selection activeCell="D75" sqref="D75"/>
    </sheetView>
  </sheetViews>
  <sheetFormatPr defaultRowHeight="15" x14ac:dyDescent="0.25"/>
  <sheetData>
    <row r="1" spans="1:3" x14ac:dyDescent="0.25">
      <c r="A1" s="17" t="s">
        <v>700</v>
      </c>
      <c r="B1" s="17" t="s">
        <v>280</v>
      </c>
      <c r="C1" s="17" t="s">
        <v>701</v>
      </c>
    </row>
    <row r="2" spans="1:3" x14ac:dyDescent="0.25">
      <c r="A2" s="17"/>
      <c r="B2" s="17"/>
      <c r="C2" s="17"/>
    </row>
    <row r="3" spans="1:3" x14ac:dyDescent="0.25">
      <c r="A3" s="17"/>
      <c r="B3" s="17"/>
      <c r="C3" s="17"/>
    </row>
    <row r="4" spans="1:3" x14ac:dyDescent="0.25">
      <c r="A4" s="17"/>
      <c r="B4" s="17"/>
      <c r="C4" s="17"/>
    </row>
    <row r="5" spans="1:3" x14ac:dyDescent="0.25">
      <c r="A5" s="17"/>
      <c r="B5" s="17"/>
      <c r="C5" s="17"/>
    </row>
    <row r="6" spans="1:3" x14ac:dyDescent="0.25">
      <c r="A6" s="17"/>
      <c r="B6" s="17"/>
      <c r="C6" s="17"/>
    </row>
    <row r="7" spans="1:3" x14ac:dyDescent="0.25">
      <c r="A7" s="17"/>
      <c r="B7" s="17"/>
      <c r="C7" s="17"/>
    </row>
    <row r="8" spans="1:3" x14ac:dyDescent="0.25">
      <c r="A8" s="17"/>
      <c r="B8" s="17"/>
      <c r="C8" s="17"/>
    </row>
    <row r="9" spans="1:3" x14ac:dyDescent="0.25">
      <c r="A9" s="17"/>
      <c r="B9" s="17"/>
      <c r="C9" s="17"/>
    </row>
    <row r="10" spans="1:3" x14ac:dyDescent="0.25">
      <c r="A10" s="17"/>
      <c r="B10" s="17"/>
      <c r="C10" s="17"/>
    </row>
    <row r="11" spans="1:3" x14ac:dyDescent="0.25">
      <c r="A11" s="17" t="s">
        <v>700</v>
      </c>
      <c r="B11" s="17" t="s">
        <v>38</v>
      </c>
      <c r="C11" s="17" t="s">
        <v>701</v>
      </c>
    </row>
    <row r="12" spans="1:3" x14ac:dyDescent="0.25">
      <c r="A12" s="17"/>
      <c r="B12" s="17"/>
      <c r="C12" s="17"/>
    </row>
    <row r="13" spans="1:3" x14ac:dyDescent="0.25">
      <c r="A13" s="17"/>
      <c r="B13" s="17"/>
      <c r="C13" s="17"/>
    </row>
    <row r="14" spans="1:3" x14ac:dyDescent="0.25">
      <c r="A14" s="17"/>
      <c r="B14" s="17"/>
      <c r="C14" s="17"/>
    </row>
    <row r="15" spans="1:3" x14ac:dyDescent="0.25">
      <c r="A15" s="17"/>
      <c r="B15" s="17"/>
      <c r="C15" s="17"/>
    </row>
    <row r="16" spans="1:3" x14ac:dyDescent="0.25">
      <c r="A16" s="17"/>
      <c r="B16" s="17"/>
      <c r="C16" s="17"/>
    </row>
    <row r="17" spans="1:3" x14ac:dyDescent="0.25">
      <c r="A17" s="17"/>
      <c r="B17" s="17"/>
      <c r="C17" s="17"/>
    </row>
    <row r="18" spans="1:3" x14ac:dyDescent="0.25">
      <c r="A18" s="17"/>
      <c r="B18" s="17"/>
      <c r="C18" s="17"/>
    </row>
    <row r="19" spans="1:3" x14ac:dyDescent="0.25">
      <c r="A19" s="17"/>
      <c r="B19" s="17"/>
      <c r="C19" s="17"/>
    </row>
    <row r="20" spans="1:3" x14ac:dyDescent="0.25">
      <c r="A20" s="17"/>
      <c r="B20" s="17"/>
      <c r="C20" s="17"/>
    </row>
    <row r="21" spans="1:3" x14ac:dyDescent="0.25">
      <c r="A21" s="17" t="s">
        <v>700</v>
      </c>
      <c r="B21" s="17" t="s">
        <v>516</v>
      </c>
      <c r="C21" s="17" t="s">
        <v>701</v>
      </c>
    </row>
    <row r="22" spans="1:3" x14ac:dyDescent="0.25">
      <c r="A22" s="17"/>
      <c r="B22" s="17"/>
      <c r="C22" s="17"/>
    </row>
    <row r="23" spans="1:3" x14ac:dyDescent="0.25">
      <c r="A23" s="17"/>
      <c r="B23" s="17"/>
      <c r="C23" s="17"/>
    </row>
    <row r="24" spans="1:3" x14ac:dyDescent="0.25">
      <c r="A24" s="17"/>
      <c r="B24" s="17"/>
      <c r="C24" s="17"/>
    </row>
    <row r="25" spans="1:3" x14ac:dyDescent="0.25">
      <c r="A25" s="17"/>
      <c r="B25" s="17"/>
      <c r="C25" s="17"/>
    </row>
    <row r="26" spans="1:3" x14ac:dyDescent="0.25">
      <c r="A26" s="17"/>
      <c r="B26" s="17"/>
      <c r="C26" s="17"/>
    </row>
    <row r="27" spans="1:3" x14ac:dyDescent="0.25">
      <c r="A27" s="17"/>
      <c r="B27" s="17"/>
      <c r="C27" s="17"/>
    </row>
    <row r="28" spans="1:3" x14ac:dyDescent="0.25">
      <c r="A28" s="17"/>
      <c r="B28" s="17"/>
      <c r="C28" s="17"/>
    </row>
    <row r="29" spans="1:3" x14ac:dyDescent="0.25">
      <c r="A29" s="17"/>
      <c r="B29" s="17"/>
      <c r="C29" s="17"/>
    </row>
    <row r="30" spans="1:3" x14ac:dyDescent="0.25">
      <c r="A30" s="17"/>
      <c r="B30" s="17"/>
      <c r="C30" s="17"/>
    </row>
    <row r="31" spans="1:3" x14ac:dyDescent="0.25">
      <c r="A31" s="17" t="s">
        <v>705</v>
      </c>
      <c r="B31" s="17" t="s">
        <v>706</v>
      </c>
      <c r="C31" s="17" t="s">
        <v>703</v>
      </c>
    </row>
    <row r="32" spans="1:3" x14ac:dyDescent="0.25">
      <c r="A32" s="17"/>
      <c r="B32" s="17"/>
      <c r="C32" s="17"/>
    </row>
    <row r="33" spans="1:3" x14ac:dyDescent="0.25">
      <c r="A33" s="17"/>
      <c r="B33" s="17"/>
      <c r="C33" s="17"/>
    </row>
    <row r="34" spans="1:3" x14ac:dyDescent="0.25">
      <c r="A34" s="17"/>
      <c r="B34" s="17"/>
      <c r="C34" s="17"/>
    </row>
    <row r="35" spans="1:3" x14ac:dyDescent="0.25">
      <c r="A35" s="17"/>
      <c r="B35" s="17"/>
      <c r="C35" s="17"/>
    </row>
    <row r="36" spans="1:3" x14ac:dyDescent="0.25">
      <c r="A36" s="17"/>
      <c r="B36" s="17"/>
      <c r="C36" s="17"/>
    </row>
    <row r="37" spans="1:3" x14ac:dyDescent="0.25">
      <c r="A37" s="17"/>
      <c r="B37" s="17"/>
      <c r="C37" s="17"/>
    </row>
    <row r="38" spans="1:3" x14ac:dyDescent="0.25">
      <c r="A38" s="17"/>
      <c r="B38" s="17"/>
      <c r="C38" s="17"/>
    </row>
    <row r="39" spans="1:3" x14ac:dyDescent="0.25">
      <c r="A39" s="17"/>
      <c r="B39" s="17"/>
      <c r="C39" s="17"/>
    </row>
    <row r="40" spans="1:3" x14ac:dyDescent="0.25">
      <c r="A40" s="17"/>
      <c r="B40" s="17"/>
      <c r="C40" s="17"/>
    </row>
    <row r="41" spans="1:3" x14ac:dyDescent="0.25">
      <c r="A41" s="17" t="s">
        <v>705</v>
      </c>
      <c r="B41" s="17" t="s">
        <v>37</v>
      </c>
      <c r="C41" s="17" t="s">
        <v>703</v>
      </c>
    </row>
    <row r="42" spans="1:3" x14ac:dyDescent="0.25">
      <c r="A42" s="17"/>
      <c r="B42" s="17"/>
      <c r="C42" s="17"/>
    </row>
    <row r="43" spans="1:3" x14ac:dyDescent="0.25">
      <c r="A43" s="17"/>
      <c r="B43" s="17"/>
      <c r="C43" s="17"/>
    </row>
    <row r="44" spans="1:3" x14ac:dyDescent="0.25">
      <c r="A44" s="17"/>
      <c r="B44" s="17"/>
      <c r="C44" s="17"/>
    </row>
    <row r="45" spans="1:3" x14ac:dyDescent="0.25">
      <c r="A45" s="17"/>
      <c r="B45" s="17"/>
      <c r="C45" s="17"/>
    </row>
    <row r="46" spans="1:3" x14ac:dyDescent="0.25">
      <c r="A46" s="17"/>
      <c r="B46" s="17"/>
      <c r="C46" s="17"/>
    </row>
    <row r="47" spans="1:3" x14ac:dyDescent="0.25">
      <c r="A47" s="17"/>
      <c r="B47" s="17"/>
      <c r="C47" s="17"/>
    </row>
    <row r="48" spans="1:3" x14ac:dyDescent="0.25">
      <c r="A48" s="17"/>
      <c r="B48" s="17"/>
      <c r="C48" s="17"/>
    </row>
    <row r="49" spans="1:3" x14ac:dyDescent="0.25">
      <c r="A49" s="17"/>
      <c r="B49" s="17"/>
      <c r="C49" s="17"/>
    </row>
    <row r="50" spans="1:3" x14ac:dyDescent="0.25">
      <c r="A50" s="17"/>
      <c r="B50" s="17"/>
      <c r="C50" s="17"/>
    </row>
    <row r="51" spans="1:3" x14ac:dyDescent="0.25">
      <c r="A51" s="17" t="s">
        <v>705</v>
      </c>
      <c r="B51" s="17" t="s">
        <v>707</v>
      </c>
      <c r="C51" s="17" t="s">
        <v>701</v>
      </c>
    </row>
    <row r="52" spans="1:3" x14ac:dyDescent="0.25">
      <c r="A52" s="17"/>
      <c r="B52" s="17"/>
      <c r="C52" s="17"/>
    </row>
    <row r="53" spans="1:3" x14ac:dyDescent="0.25">
      <c r="A53" s="17"/>
      <c r="B53" s="17"/>
      <c r="C53" s="17"/>
    </row>
    <row r="54" spans="1:3" x14ac:dyDescent="0.25">
      <c r="A54" s="17"/>
      <c r="B54" s="17"/>
      <c r="C54" s="17"/>
    </row>
    <row r="55" spans="1:3" x14ac:dyDescent="0.25">
      <c r="A55" s="17"/>
      <c r="B55" s="17"/>
      <c r="C55" s="17"/>
    </row>
    <row r="56" spans="1:3" x14ac:dyDescent="0.25">
      <c r="A56" s="17"/>
      <c r="B56" s="17"/>
      <c r="C56" s="17"/>
    </row>
    <row r="57" spans="1:3" x14ac:dyDescent="0.25">
      <c r="A57" s="17"/>
      <c r="B57" s="17"/>
      <c r="C57" s="17"/>
    </row>
    <row r="58" spans="1:3" x14ac:dyDescent="0.25">
      <c r="A58" s="17"/>
      <c r="B58" s="17"/>
      <c r="C58" s="17"/>
    </row>
    <row r="59" spans="1:3" x14ac:dyDescent="0.25">
      <c r="A59" s="17"/>
      <c r="B59" s="17"/>
      <c r="C59" s="17"/>
    </row>
    <row r="60" spans="1:3" x14ac:dyDescent="0.25">
      <c r="A60" s="17"/>
      <c r="B60" s="17"/>
      <c r="C60" s="17"/>
    </row>
    <row r="61" spans="1:3" x14ac:dyDescent="0.25">
      <c r="A61" s="17" t="s">
        <v>705</v>
      </c>
      <c r="B61" s="17" t="s">
        <v>708</v>
      </c>
      <c r="C61" s="17" t="s">
        <v>703</v>
      </c>
    </row>
    <row r="62" spans="1:3" x14ac:dyDescent="0.25">
      <c r="A62" s="17"/>
      <c r="B62" s="17"/>
      <c r="C62" s="17"/>
    </row>
    <row r="63" spans="1:3" x14ac:dyDescent="0.25">
      <c r="A63" s="17"/>
      <c r="B63" s="17"/>
      <c r="C63" s="17"/>
    </row>
    <row r="64" spans="1:3" x14ac:dyDescent="0.25">
      <c r="A64" s="17"/>
      <c r="B64" s="17"/>
      <c r="C64" s="17"/>
    </row>
    <row r="65" spans="1:3" x14ac:dyDescent="0.25">
      <c r="A65" s="17"/>
      <c r="B65" s="17"/>
      <c r="C65" s="17"/>
    </row>
    <row r="66" spans="1:3" x14ac:dyDescent="0.25">
      <c r="A66" s="17"/>
      <c r="B66" s="17"/>
      <c r="C66" s="17"/>
    </row>
    <row r="67" spans="1:3" x14ac:dyDescent="0.25">
      <c r="A67" s="17"/>
      <c r="B67" s="17"/>
      <c r="C67" s="17"/>
    </row>
    <row r="68" spans="1:3" x14ac:dyDescent="0.25">
      <c r="A68" s="17"/>
      <c r="B68" s="17"/>
      <c r="C68" s="17"/>
    </row>
    <row r="69" spans="1:3" x14ac:dyDescent="0.25">
      <c r="A69" s="17"/>
      <c r="B69" s="17"/>
      <c r="C69" s="17"/>
    </row>
    <row r="70" spans="1:3" x14ac:dyDescent="0.25">
      <c r="A70" s="17"/>
      <c r="B70" s="17"/>
      <c r="C70" s="17"/>
    </row>
    <row r="71" spans="1:3" x14ac:dyDescent="0.25">
      <c r="A71" s="17" t="s">
        <v>705</v>
      </c>
      <c r="B71" s="17" t="s">
        <v>709</v>
      </c>
      <c r="C71" s="17" t="s">
        <v>703</v>
      </c>
    </row>
    <row r="72" spans="1:3" x14ac:dyDescent="0.25">
      <c r="A72" s="17"/>
      <c r="B72" s="17"/>
      <c r="C72" s="17"/>
    </row>
    <row r="73" spans="1:3" x14ac:dyDescent="0.25">
      <c r="A73" s="17"/>
      <c r="B73" s="17"/>
      <c r="C73" s="17"/>
    </row>
    <row r="74" spans="1:3" x14ac:dyDescent="0.25">
      <c r="A74" s="17"/>
      <c r="B74" s="17"/>
      <c r="C74" s="17"/>
    </row>
    <row r="75" spans="1:3" x14ac:dyDescent="0.25">
      <c r="A75" s="17"/>
      <c r="B75" s="17"/>
      <c r="C75" s="17"/>
    </row>
    <row r="76" spans="1:3" x14ac:dyDescent="0.25">
      <c r="A76" s="17"/>
      <c r="B76" s="17"/>
      <c r="C76" s="17"/>
    </row>
    <row r="77" spans="1:3" x14ac:dyDescent="0.25">
      <c r="A77" s="17"/>
      <c r="B77" s="17"/>
      <c r="C77" s="17"/>
    </row>
    <row r="78" spans="1:3" x14ac:dyDescent="0.25">
      <c r="A78" s="17"/>
      <c r="B78" s="17"/>
      <c r="C78" s="17"/>
    </row>
    <row r="79" spans="1:3" x14ac:dyDescent="0.25">
      <c r="A79" s="17"/>
      <c r="B79" s="17"/>
      <c r="C79" s="17"/>
    </row>
    <row r="80" spans="1:3" x14ac:dyDescent="0.25">
      <c r="A80" s="17"/>
      <c r="B80" s="17"/>
      <c r="C80" s="17"/>
    </row>
    <row r="81" spans="1:3" x14ac:dyDescent="0.25">
      <c r="A81" s="17" t="s">
        <v>705</v>
      </c>
      <c r="B81" s="17" t="s">
        <v>710</v>
      </c>
      <c r="C81" s="17" t="s">
        <v>703</v>
      </c>
    </row>
    <row r="82" spans="1:3" x14ac:dyDescent="0.25">
      <c r="A82" s="17"/>
      <c r="B82" s="17"/>
      <c r="C82" s="17"/>
    </row>
    <row r="83" spans="1:3" x14ac:dyDescent="0.25">
      <c r="A83" s="17"/>
      <c r="B83" s="17"/>
      <c r="C83" s="17"/>
    </row>
    <row r="84" spans="1:3" x14ac:dyDescent="0.25">
      <c r="A84" s="17"/>
      <c r="B84" s="17"/>
      <c r="C84" s="17"/>
    </row>
    <row r="85" spans="1:3" x14ac:dyDescent="0.25">
      <c r="A85" s="17"/>
      <c r="B85" s="17"/>
      <c r="C85" s="17"/>
    </row>
    <row r="86" spans="1:3" x14ac:dyDescent="0.25">
      <c r="A86" s="17"/>
      <c r="B86" s="17"/>
      <c r="C86" s="17"/>
    </row>
    <row r="87" spans="1:3" x14ac:dyDescent="0.25">
      <c r="A87" s="17"/>
      <c r="B87" s="17"/>
      <c r="C87" s="17"/>
    </row>
    <row r="88" spans="1:3" x14ac:dyDescent="0.25">
      <c r="A88" s="17"/>
      <c r="B88" s="17"/>
      <c r="C88" s="17"/>
    </row>
    <row r="89" spans="1:3" x14ac:dyDescent="0.25">
      <c r="A89" s="17"/>
      <c r="B89" s="17"/>
      <c r="C89" s="17"/>
    </row>
    <row r="90" spans="1:3" x14ac:dyDescent="0.25">
      <c r="A90" s="17"/>
      <c r="B90" s="17"/>
      <c r="C90" s="17"/>
    </row>
    <row r="91" spans="1:3" x14ac:dyDescent="0.25">
      <c r="A91" s="17" t="s">
        <v>705</v>
      </c>
      <c r="B91" s="17" t="s">
        <v>711</v>
      </c>
      <c r="C91" s="17" t="s">
        <v>703</v>
      </c>
    </row>
    <row r="92" spans="1:3" x14ac:dyDescent="0.25">
      <c r="A92" s="17"/>
      <c r="B92" s="17"/>
      <c r="C92" s="17"/>
    </row>
    <row r="93" spans="1:3" x14ac:dyDescent="0.25">
      <c r="A93" s="17"/>
      <c r="B93" s="17"/>
      <c r="C93" s="17"/>
    </row>
    <row r="94" spans="1:3" x14ac:dyDescent="0.25">
      <c r="A94" s="17"/>
      <c r="B94" s="17"/>
      <c r="C94" s="17"/>
    </row>
    <row r="95" spans="1:3" x14ac:dyDescent="0.25">
      <c r="A95" s="17"/>
      <c r="B95" s="17"/>
      <c r="C95" s="17"/>
    </row>
    <row r="96" spans="1:3" x14ac:dyDescent="0.25">
      <c r="A96" s="17"/>
      <c r="B96" s="17"/>
      <c r="C96" s="17"/>
    </row>
    <row r="97" spans="1:3" x14ac:dyDescent="0.25">
      <c r="A97" s="17"/>
      <c r="B97" s="17"/>
      <c r="C97" s="17"/>
    </row>
    <row r="98" spans="1:3" x14ac:dyDescent="0.25">
      <c r="A98" s="17"/>
      <c r="B98" s="17"/>
      <c r="C98" s="17"/>
    </row>
    <row r="99" spans="1:3" x14ac:dyDescent="0.25">
      <c r="A99" s="17"/>
      <c r="B99" s="17"/>
      <c r="C99" s="17"/>
    </row>
    <row r="100" spans="1:3" x14ac:dyDescent="0.25">
      <c r="A100" s="17"/>
      <c r="B100" s="17"/>
      <c r="C100" s="17"/>
    </row>
    <row r="101" spans="1:3" x14ac:dyDescent="0.25">
      <c r="A101" s="17" t="s">
        <v>705</v>
      </c>
      <c r="B101" s="17" t="s">
        <v>712</v>
      </c>
      <c r="C101" s="17" t="s">
        <v>703</v>
      </c>
    </row>
    <row r="102" spans="1:3" x14ac:dyDescent="0.25">
      <c r="A102" s="17"/>
      <c r="B102" s="17"/>
      <c r="C102" s="17"/>
    </row>
    <row r="103" spans="1:3" x14ac:dyDescent="0.25">
      <c r="A103" s="17"/>
      <c r="B103" s="17"/>
      <c r="C103" s="17"/>
    </row>
    <row r="104" spans="1:3" x14ac:dyDescent="0.25">
      <c r="A104" s="17"/>
      <c r="B104" s="17"/>
      <c r="C104" s="17"/>
    </row>
    <row r="105" spans="1:3" x14ac:dyDescent="0.25">
      <c r="A105" s="17"/>
      <c r="B105" s="17"/>
      <c r="C105" s="17"/>
    </row>
    <row r="106" spans="1:3" x14ac:dyDescent="0.25">
      <c r="A106" s="17"/>
      <c r="B106" s="17"/>
      <c r="C106" s="17"/>
    </row>
    <row r="107" spans="1:3" x14ac:dyDescent="0.25">
      <c r="A107" s="17"/>
      <c r="B107" s="17"/>
      <c r="C107" s="17"/>
    </row>
    <row r="108" spans="1:3" x14ac:dyDescent="0.25">
      <c r="A108" s="17"/>
      <c r="B108" s="17"/>
      <c r="C108" s="17"/>
    </row>
    <row r="109" spans="1:3" x14ac:dyDescent="0.25">
      <c r="A109" s="17"/>
      <c r="B109" s="17"/>
      <c r="C109" s="17"/>
    </row>
    <row r="110" spans="1:3" x14ac:dyDescent="0.25">
      <c r="A110" s="17"/>
      <c r="B110" s="17"/>
      <c r="C110" s="17"/>
    </row>
    <row r="111" spans="1:3" x14ac:dyDescent="0.25">
      <c r="A111" s="17" t="s">
        <v>705</v>
      </c>
      <c r="B111" s="17" t="s">
        <v>187</v>
      </c>
      <c r="C111" s="17" t="s">
        <v>703</v>
      </c>
    </row>
    <row r="112" spans="1:3" x14ac:dyDescent="0.25">
      <c r="A112" s="17"/>
      <c r="B112" s="17"/>
      <c r="C112" s="17"/>
    </row>
    <row r="113" spans="1:3" x14ac:dyDescent="0.25">
      <c r="A113" s="17"/>
      <c r="B113" s="17"/>
      <c r="C113" s="17"/>
    </row>
    <row r="114" spans="1:3" x14ac:dyDescent="0.25">
      <c r="A114" s="17"/>
      <c r="B114" s="17"/>
      <c r="C114" s="17"/>
    </row>
    <row r="115" spans="1:3" x14ac:dyDescent="0.25">
      <c r="A115" s="17"/>
      <c r="B115" s="17"/>
      <c r="C115" s="17"/>
    </row>
    <row r="116" spans="1:3" x14ac:dyDescent="0.25">
      <c r="A116" s="17"/>
      <c r="B116" s="17"/>
      <c r="C116" s="17"/>
    </row>
    <row r="117" spans="1:3" x14ac:dyDescent="0.25">
      <c r="A117" s="17"/>
      <c r="B117" s="17"/>
      <c r="C117" s="17"/>
    </row>
    <row r="118" spans="1:3" x14ac:dyDescent="0.25">
      <c r="A118" s="17"/>
      <c r="B118" s="17"/>
      <c r="C118" s="17"/>
    </row>
    <row r="119" spans="1:3" x14ac:dyDescent="0.25">
      <c r="A119" s="17"/>
      <c r="B119" s="17"/>
      <c r="C119" s="17"/>
    </row>
    <row r="120" spans="1:3" x14ac:dyDescent="0.25">
      <c r="A120" s="17"/>
      <c r="B120" s="17"/>
      <c r="C120" s="17"/>
    </row>
    <row r="121" spans="1:3" x14ac:dyDescent="0.25">
      <c r="A121" s="17" t="s">
        <v>705</v>
      </c>
      <c r="B121" s="17" t="s">
        <v>713</v>
      </c>
      <c r="C121" s="17" t="s">
        <v>703</v>
      </c>
    </row>
    <row r="122" spans="1:3" x14ac:dyDescent="0.25">
      <c r="A122" s="17"/>
      <c r="B122" s="17"/>
      <c r="C122" s="17"/>
    </row>
    <row r="123" spans="1:3" x14ac:dyDescent="0.25">
      <c r="A123" s="17"/>
      <c r="B123" s="17"/>
      <c r="C123" s="17"/>
    </row>
    <row r="124" spans="1:3" x14ac:dyDescent="0.25">
      <c r="A124" s="17"/>
      <c r="B124" s="17"/>
      <c r="C124" s="17"/>
    </row>
    <row r="125" spans="1:3" x14ac:dyDescent="0.25">
      <c r="A125" s="17"/>
      <c r="B125" s="17"/>
      <c r="C125" s="17"/>
    </row>
    <row r="126" spans="1:3" x14ac:dyDescent="0.25">
      <c r="A126" s="17"/>
      <c r="B126" s="17"/>
      <c r="C126" s="17"/>
    </row>
    <row r="127" spans="1:3" x14ac:dyDescent="0.25">
      <c r="A127" s="17"/>
      <c r="B127" s="17"/>
      <c r="C127" s="17"/>
    </row>
    <row r="128" spans="1:3" x14ac:dyDescent="0.25">
      <c r="A128" s="17"/>
      <c r="B128" s="17"/>
      <c r="C128" s="17"/>
    </row>
    <row r="129" spans="1:3" x14ac:dyDescent="0.25">
      <c r="A129" s="17"/>
      <c r="B129" s="17"/>
      <c r="C129" s="17"/>
    </row>
    <row r="130" spans="1:3" x14ac:dyDescent="0.25">
      <c r="A130" s="17"/>
      <c r="B130" s="17"/>
      <c r="C130" s="17"/>
    </row>
    <row r="131" spans="1:3" x14ac:dyDescent="0.25">
      <c r="A131" s="17" t="s">
        <v>705</v>
      </c>
      <c r="B131" s="17" t="s">
        <v>714</v>
      </c>
      <c r="C131" s="17" t="s">
        <v>704</v>
      </c>
    </row>
    <row r="132" spans="1:3" x14ac:dyDescent="0.25">
      <c r="A132" s="17"/>
      <c r="B132" s="17"/>
      <c r="C132" s="17"/>
    </row>
    <row r="133" spans="1:3" x14ac:dyDescent="0.25">
      <c r="A133" s="17"/>
      <c r="B133" s="17"/>
      <c r="C133" s="17"/>
    </row>
    <row r="134" spans="1:3" x14ac:dyDescent="0.25">
      <c r="A134" s="17"/>
      <c r="B134" s="17"/>
      <c r="C134" s="17"/>
    </row>
    <row r="135" spans="1:3" x14ac:dyDescent="0.25">
      <c r="A135" s="17"/>
      <c r="B135" s="17"/>
      <c r="C135" s="17"/>
    </row>
    <row r="136" spans="1:3" x14ac:dyDescent="0.25">
      <c r="A136" s="17"/>
      <c r="B136" s="17"/>
      <c r="C136" s="17"/>
    </row>
    <row r="137" spans="1:3" x14ac:dyDescent="0.25">
      <c r="A137" s="17"/>
      <c r="B137" s="17"/>
      <c r="C137" s="17"/>
    </row>
    <row r="138" spans="1:3" x14ac:dyDescent="0.25">
      <c r="A138" s="17"/>
      <c r="B138" s="17"/>
      <c r="C138" s="17"/>
    </row>
    <row r="139" spans="1:3" x14ac:dyDescent="0.25">
      <c r="A139" s="17"/>
      <c r="B139" s="17"/>
      <c r="C139" s="17"/>
    </row>
    <row r="140" spans="1:3" x14ac:dyDescent="0.25">
      <c r="A140" s="17"/>
      <c r="B140" s="17"/>
      <c r="C140" s="17"/>
    </row>
    <row r="141" spans="1:3" x14ac:dyDescent="0.25">
      <c r="A141" s="17" t="s">
        <v>705</v>
      </c>
      <c r="B141" s="17" t="s">
        <v>715</v>
      </c>
      <c r="C141" s="17" t="s">
        <v>704</v>
      </c>
    </row>
    <row r="142" spans="1:3" x14ac:dyDescent="0.25">
      <c r="A142" s="17"/>
      <c r="B142" s="17"/>
      <c r="C142" s="17"/>
    </row>
    <row r="143" spans="1:3" x14ac:dyDescent="0.25">
      <c r="A143" s="17"/>
      <c r="B143" s="17"/>
      <c r="C143" s="17"/>
    </row>
    <row r="144" spans="1:3" x14ac:dyDescent="0.25">
      <c r="A144" s="17"/>
      <c r="B144" s="17"/>
      <c r="C144" s="17"/>
    </row>
    <row r="145" spans="1:3" x14ac:dyDescent="0.25">
      <c r="A145" s="17"/>
      <c r="B145" s="17"/>
      <c r="C145" s="17"/>
    </row>
    <row r="146" spans="1:3" x14ac:dyDescent="0.25">
      <c r="A146" s="17"/>
      <c r="B146" s="17"/>
      <c r="C146" s="17"/>
    </row>
    <row r="147" spans="1:3" x14ac:dyDescent="0.25">
      <c r="A147" s="17"/>
      <c r="B147" s="17"/>
      <c r="C147" s="17"/>
    </row>
    <row r="148" spans="1:3" x14ac:dyDescent="0.25">
      <c r="A148" s="17"/>
      <c r="B148" s="17"/>
      <c r="C148" s="17"/>
    </row>
    <row r="149" spans="1:3" x14ac:dyDescent="0.25">
      <c r="A149" s="17"/>
      <c r="B149" s="17"/>
      <c r="C149" s="17"/>
    </row>
    <row r="150" spans="1:3" x14ac:dyDescent="0.25">
      <c r="A150" s="17"/>
      <c r="B150" s="17"/>
      <c r="C150" s="17"/>
    </row>
    <row r="151" spans="1:3" x14ac:dyDescent="0.25">
      <c r="A151" s="17" t="s">
        <v>705</v>
      </c>
      <c r="B151" s="17" t="s">
        <v>716</v>
      </c>
      <c r="C151" s="17" t="s">
        <v>704</v>
      </c>
    </row>
    <row r="152" spans="1:3" x14ac:dyDescent="0.25">
      <c r="A152" s="17"/>
      <c r="B152" s="17"/>
      <c r="C152" s="17"/>
    </row>
    <row r="153" spans="1:3" x14ac:dyDescent="0.25">
      <c r="A153" s="17"/>
      <c r="B153" s="17"/>
      <c r="C153" s="17"/>
    </row>
    <row r="154" spans="1:3" x14ac:dyDescent="0.25">
      <c r="A154" s="17"/>
      <c r="B154" s="17"/>
      <c r="C154" s="17"/>
    </row>
    <row r="155" spans="1:3" x14ac:dyDescent="0.25">
      <c r="A155" s="17"/>
      <c r="B155" s="17"/>
      <c r="C155" s="17"/>
    </row>
    <row r="156" spans="1:3" x14ac:dyDescent="0.25">
      <c r="A156" s="17"/>
      <c r="B156" s="17"/>
      <c r="C156" s="17"/>
    </row>
    <row r="157" spans="1:3" x14ac:dyDescent="0.25">
      <c r="A157" s="17"/>
      <c r="B157" s="17"/>
      <c r="C157" s="17"/>
    </row>
    <row r="158" spans="1:3" x14ac:dyDescent="0.25">
      <c r="A158" s="17"/>
      <c r="B158" s="17"/>
      <c r="C158" s="17"/>
    </row>
    <row r="159" spans="1:3" x14ac:dyDescent="0.25">
      <c r="A159" s="17"/>
      <c r="B159" s="17"/>
      <c r="C159" s="17"/>
    </row>
    <row r="160" spans="1:3" x14ac:dyDescent="0.25">
      <c r="A160" s="17"/>
      <c r="B160" s="17"/>
      <c r="C160" s="17"/>
    </row>
    <row r="161" spans="1:3" x14ac:dyDescent="0.25">
      <c r="A161" s="17" t="s">
        <v>705</v>
      </c>
      <c r="B161" s="17" t="s">
        <v>717</v>
      </c>
      <c r="C161" s="17" t="s">
        <v>704</v>
      </c>
    </row>
    <row r="162" spans="1:3" x14ac:dyDescent="0.25">
      <c r="A162" s="17"/>
      <c r="B162" s="17"/>
      <c r="C162" s="17"/>
    </row>
    <row r="163" spans="1:3" x14ac:dyDescent="0.25">
      <c r="A163" s="17"/>
      <c r="B163" s="17"/>
      <c r="C163" s="17"/>
    </row>
    <row r="164" spans="1:3" x14ac:dyDescent="0.25">
      <c r="A164" s="17"/>
      <c r="B164" s="17"/>
      <c r="C164" s="17"/>
    </row>
    <row r="165" spans="1:3" x14ac:dyDescent="0.25">
      <c r="A165" s="17"/>
      <c r="B165" s="17"/>
      <c r="C165" s="17"/>
    </row>
    <row r="166" spans="1:3" x14ac:dyDescent="0.25">
      <c r="A166" s="17"/>
      <c r="B166" s="17"/>
      <c r="C166" s="17"/>
    </row>
    <row r="167" spans="1:3" x14ac:dyDescent="0.25">
      <c r="A167" s="17"/>
      <c r="B167" s="17"/>
      <c r="C167" s="17"/>
    </row>
    <row r="168" spans="1:3" x14ac:dyDescent="0.25">
      <c r="A168" s="17"/>
      <c r="B168" s="17"/>
      <c r="C168" s="17"/>
    </row>
    <row r="169" spans="1:3" x14ac:dyDescent="0.25">
      <c r="A169" s="17"/>
      <c r="B169" s="17"/>
      <c r="C169" s="17"/>
    </row>
    <row r="170" spans="1:3" x14ac:dyDescent="0.25">
      <c r="A170" s="17"/>
      <c r="B170" s="17"/>
      <c r="C170" s="17"/>
    </row>
    <row r="171" spans="1:3" x14ac:dyDescent="0.25">
      <c r="A171" s="17" t="s">
        <v>705</v>
      </c>
      <c r="B171" s="17" t="s">
        <v>718</v>
      </c>
      <c r="C171" s="17" t="s">
        <v>704</v>
      </c>
    </row>
    <row r="172" spans="1:3" x14ac:dyDescent="0.25">
      <c r="A172" s="17"/>
      <c r="B172" s="17"/>
      <c r="C172" s="17"/>
    </row>
    <row r="173" spans="1:3" x14ac:dyDescent="0.25">
      <c r="A173" s="17"/>
      <c r="B173" s="17"/>
      <c r="C173" s="17"/>
    </row>
    <row r="174" spans="1:3" x14ac:dyDescent="0.25">
      <c r="A174" s="17"/>
      <c r="B174" s="17"/>
      <c r="C174" s="17"/>
    </row>
    <row r="175" spans="1:3" x14ac:dyDescent="0.25">
      <c r="A175" s="17"/>
      <c r="B175" s="17"/>
      <c r="C175" s="17"/>
    </row>
    <row r="176" spans="1:3" x14ac:dyDescent="0.25">
      <c r="A176" s="17"/>
      <c r="B176" s="17"/>
      <c r="C176" s="17"/>
    </row>
    <row r="177" spans="1:3" x14ac:dyDescent="0.25">
      <c r="A177" s="17"/>
      <c r="B177" s="17"/>
      <c r="C177" s="17"/>
    </row>
    <row r="178" spans="1:3" x14ac:dyDescent="0.25">
      <c r="A178" s="17"/>
      <c r="B178" s="17"/>
      <c r="C178" s="17"/>
    </row>
    <row r="179" spans="1:3" x14ac:dyDescent="0.25">
      <c r="A179" s="17"/>
      <c r="B179" s="17"/>
      <c r="C179" s="17"/>
    </row>
    <row r="180" spans="1:3" x14ac:dyDescent="0.25">
      <c r="A180" s="17"/>
      <c r="B180" s="17"/>
      <c r="C180" s="17"/>
    </row>
    <row r="181" spans="1:3" x14ac:dyDescent="0.25">
      <c r="A181" s="17" t="s">
        <v>705</v>
      </c>
      <c r="B181" s="17" t="s">
        <v>719</v>
      </c>
      <c r="C181" s="17" t="s">
        <v>704</v>
      </c>
    </row>
    <row r="182" spans="1:3" x14ac:dyDescent="0.25">
      <c r="A182" s="17"/>
      <c r="B182" s="17"/>
      <c r="C182" s="17"/>
    </row>
    <row r="183" spans="1:3" x14ac:dyDescent="0.25">
      <c r="A183" s="17"/>
      <c r="B183" s="17"/>
      <c r="C183" s="17"/>
    </row>
    <row r="184" spans="1:3" x14ac:dyDescent="0.25">
      <c r="A184" s="17"/>
      <c r="B184" s="17"/>
      <c r="C184" s="17"/>
    </row>
    <row r="185" spans="1:3" x14ac:dyDescent="0.25">
      <c r="A185" s="17"/>
      <c r="B185" s="17"/>
      <c r="C185" s="17"/>
    </row>
    <row r="186" spans="1:3" x14ac:dyDescent="0.25">
      <c r="A186" s="17"/>
      <c r="B186" s="17"/>
      <c r="C186" s="17"/>
    </row>
    <row r="187" spans="1:3" x14ac:dyDescent="0.25">
      <c r="A187" s="17"/>
      <c r="B187" s="17"/>
      <c r="C187" s="17"/>
    </row>
    <row r="188" spans="1:3" x14ac:dyDescent="0.25">
      <c r="A188" s="17"/>
      <c r="B188" s="17"/>
      <c r="C188" s="17"/>
    </row>
    <row r="189" spans="1:3" x14ac:dyDescent="0.25">
      <c r="A189" s="17"/>
      <c r="B189" s="17"/>
      <c r="C189" s="17"/>
    </row>
    <row r="190" spans="1:3" x14ac:dyDescent="0.25">
      <c r="A190" s="17"/>
      <c r="B190" s="17"/>
      <c r="C190" s="17"/>
    </row>
    <row r="191" spans="1:3" x14ac:dyDescent="0.25">
      <c r="A191" s="17" t="s">
        <v>705</v>
      </c>
      <c r="B191" s="17" t="s">
        <v>720</v>
      </c>
      <c r="C191" s="17" t="s">
        <v>704</v>
      </c>
    </row>
    <row r="192" spans="1:3" x14ac:dyDescent="0.25">
      <c r="A192" s="17"/>
      <c r="B192" s="17"/>
      <c r="C192" s="17"/>
    </row>
    <row r="193" spans="1:3" x14ac:dyDescent="0.25">
      <c r="A193" s="17"/>
      <c r="B193" s="17"/>
      <c r="C193" s="17"/>
    </row>
    <row r="194" spans="1:3" x14ac:dyDescent="0.25">
      <c r="A194" s="17"/>
      <c r="B194" s="17"/>
      <c r="C194" s="17"/>
    </row>
    <row r="195" spans="1:3" x14ac:dyDescent="0.25">
      <c r="A195" s="17"/>
      <c r="B195" s="17"/>
      <c r="C195" s="17"/>
    </row>
    <row r="196" spans="1:3" x14ac:dyDescent="0.25">
      <c r="A196" s="17"/>
      <c r="B196" s="17"/>
      <c r="C196" s="17"/>
    </row>
    <row r="197" spans="1:3" x14ac:dyDescent="0.25">
      <c r="A197" s="17"/>
      <c r="B197" s="17"/>
      <c r="C197" s="17"/>
    </row>
    <row r="198" spans="1:3" x14ac:dyDescent="0.25">
      <c r="A198" s="17"/>
      <c r="B198" s="17"/>
      <c r="C198" s="17"/>
    </row>
    <row r="199" spans="1:3" x14ac:dyDescent="0.25">
      <c r="A199" s="17"/>
      <c r="B199" s="17"/>
      <c r="C199" s="17"/>
    </row>
    <row r="200" spans="1:3" x14ac:dyDescent="0.25">
      <c r="A200" s="17"/>
      <c r="B200" s="17"/>
      <c r="C200" s="17"/>
    </row>
    <row r="201" spans="1:3" x14ac:dyDescent="0.25">
      <c r="A201" s="17" t="s">
        <v>705</v>
      </c>
      <c r="B201" s="17" t="s">
        <v>721</v>
      </c>
      <c r="C201" s="17" t="s">
        <v>704</v>
      </c>
    </row>
    <row r="202" spans="1:3" x14ac:dyDescent="0.25">
      <c r="A202" s="17"/>
      <c r="B202" s="17"/>
      <c r="C202" s="17"/>
    </row>
    <row r="203" spans="1:3" x14ac:dyDescent="0.25">
      <c r="A203" s="17"/>
      <c r="B203" s="17"/>
      <c r="C203" s="17"/>
    </row>
    <row r="204" spans="1:3" x14ac:dyDescent="0.25">
      <c r="A204" s="17"/>
      <c r="B204" s="17"/>
      <c r="C204" s="17"/>
    </row>
    <row r="205" spans="1:3" x14ac:dyDescent="0.25">
      <c r="A205" s="17"/>
      <c r="B205" s="17"/>
      <c r="C205" s="17"/>
    </row>
    <row r="206" spans="1:3" x14ac:dyDescent="0.25">
      <c r="A206" s="17"/>
      <c r="B206" s="17"/>
      <c r="C206" s="17"/>
    </row>
    <row r="207" spans="1:3" x14ac:dyDescent="0.25">
      <c r="A207" s="17"/>
      <c r="B207" s="17"/>
      <c r="C207" s="17"/>
    </row>
    <row r="208" spans="1:3" x14ac:dyDescent="0.25">
      <c r="A208" s="17"/>
      <c r="B208" s="17"/>
      <c r="C208" s="17"/>
    </row>
    <row r="209" spans="1:3" x14ac:dyDescent="0.25">
      <c r="A209" s="17"/>
      <c r="B209" s="17"/>
      <c r="C209" s="17"/>
    </row>
    <row r="210" spans="1:3" x14ac:dyDescent="0.25">
      <c r="A210" s="17"/>
      <c r="B210" s="17"/>
      <c r="C210" s="17"/>
    </row>
    <row r="211" spans="1:3" x14ac:dyDescent="0.25">
      <c r="A211" s="17" t="s">
        <v>705</v>
      </c>
      <c r="B211" s="17" t="s">
        <v>722</v>
      </c>
      <c r="C211" s="17" t="s">
        <v>704</v>
      </c>
    </row>
    <row r="212" spans="1:3" x14ac:dyDescent="0.25">
      <c r="A212" s="17"/>
      <c r="B212" s="17"/>
      <c r="C212" s="17"/>
    </row>
    <row r="213" spans="1:3" x14ac:dyDescent="0.25">
      <c r="A213" s="17"/>
      <c r="B213" s="17"/>
      <c r="C213" s="17"/>
    </row>
    <row r="214" spans="1:3" x14ac:dyDescent="0.25">
      <c r="A214" s="17"/>
      <c r="B214" s="17"/>
      <c r="C214" s="17"/>
    </row>
    <row r="215" spans="1:3" x14ac:dyDescent="0.25">
      <c r="A215" s="17"/>
      <c r="B215" s="17"/>
      <c r="C215" s="17"/>
    </row>
    <row r="216" spans="1:3" x14ac:dyDescent="0.25">
      <c r="A216" s="17"/>
      <c r="B216" s="17"/>
      <c r="C216" s="17"/>
    </row>
    <row r="217" spans="1:3" x14ac:dyDescent="0.25">
      <c r="A217" s="17"/>
      <c r="B217" s="17"/>
      <c r="C217" s="17"/>
    </row>
    <row r="218" spans="1:3" x14ac:dyDescent="0.25">
      <c r="A218" s="17"/>
      <c r="B218" s="17"/>
      <c r="C218" s="17"/>
    </row>
    <row r="219" spans="1:3" x14ac:dyDescent="0.25">
      <c r="A219" s="17"/>
      <c r="B219" s="17"/>
      <c r="C219" s="17"/>
    </row>
    <row r="220" spans="1:3" x14ac:dyDescent="0.25">
      <c r="A220" s="17"/>
      <c r="B220" s="17"/>
      <c r="C220" s="17"/>
    </row>
    <row r="221" spans="1:3" x14ac:dyDescent="0.25">
      <c r="A221" s="17" t="s">
        <v>705</v>
      </c>
      <c r="B221" s="17" t="s">
        <v>723</v>
      </c>
      <c r="C221" s="17" t="s">
        <v>704</v>
      </c>
    </row>
    <row r="222" spans="1:3" x14ac:dyDescent="0.25">
      <c r="A222" s="17"/>
      <c r="B222" s="17"/>
      <c r="C222" s="17"/>
    </row>
    <row r="223" spans="1:3" x14ac:dyDescent="0.25">
      <c r="A223" s="17"/>
      <c r="B223" s="17"/>
      <c r="C223" s="17"/>
    </row>
    <row r="224" spans="1:3" x14ac:dyDescent="0.25">
      <c r="A224" s="17"/>
      <c r="B224" s="17"/>
      <c r="C224" s="17"/>
    </row>
    <row r="225" spans="1:3" x14ac:dyDescent="0.25">
      <c r="A225" s="17"/>
      <c r="B225" s="17"/>
      <c r="C225" s="17"/>
    </row>
    <row r="226" spans="1:3" x14ac:dyDescent="0.25">
      <c r="A226" s="17"/>
      <c r="B226" s="17"/>
      <c r="C226" s="17"/>
    </row>
    <row r="227" spans="1:3" x14ac:dyDescent="0.25">
      <c r="A227" s="17"/>
      <c r="B227" s="17"/>
      <c r="C227" s="17"/>
    </row>
    <row r="228" spans="1:3" x14ac:dyDescent="0.25">
      <c r="A228" s="17"/>
      <c r="B228" s="17"/>
      <c r="C228" s="17"/>
    </row>
    <row r="229" spans="1:3" x14ac:dyDescent="0.25">
      <c r="A229" s="17"/>
      <c r="B229" s="17"/>
      <c r="C229" s="17"/>
    </row>
    <row r="230" spans="1:3" x14ac:dyDescent="0.25">
      <c r="A230" s="17"/>
      <c r="B230" s="17"/>
      <c r="C230" s="17"/>
    </row>
    <row r="231" spans="1:3" x14ac:dyDescent="0.25">
      <c r="A231" s="17" t="s">
        <v>705</v>
      </c>
      <c r="B231" s="17" t="s">
        <v>724</v>
      </c>
      <c r="C231" s="17" t="s">
        <v>704</v>
      </c>
    </row>
    <row r="232" spans="1:3" x14ac:dyDescent="0.25">
      <c r="A232" s="17"/>
      <c r="B232" s="17"/>
      <c r="C232" s="17"/>
    </row>
    <row r="233" spans="1:3" x14ac:dyDescent="0.25">
      <c r="A233" s="17"/>
      <c r="B233" s="17"/>
      <c r="C233" s="17"/>
    </row>
    <row r="234" spans="1:3" x14ac:dyDescent="0.25">
      <c r="A234" s="17"/>
      <c r="B234" s="17"/>
      <c r="C234" s="17"/>
    </row>
    <row r="235" spans="1:3" x14ac:dyDescent="0.25">
      <c r="A235" s="17"/>
      <c r="B235" s="17"/>
      <c r="C235" s="17"/>
    </row>
    <row r="236" spans="1:3" x14ac:dyDescent="0.25">
      <c r="A236" s="17"/>
      <c r="B236" s="17"/>
      <c r="C236" s="17"/>
    </row>
    <row r="237" spans="1:3" x14ac:dyDescent="0.25">
      <c r="A237" s="17"/>
      <c r="B237" s="17"/>
      <c r="C237" s="17"/>
    </row>
    <row r="238" spans="1:3" x14ac:dyDescent="0.25">
      <c r="A238" s="17"/>
      <c r="B238" s="17"/>
      <c r="C238" s="17"/>
    </row>
    <row r="239" spans="1:3" x14ac:dyDescent="0.25">
      <c r="A239" s="17"/>
      <c r="B239" s="17"/>
      <c r="C239" s="17"/>
    </row>
    <row r="240" spans="1:3" x14ac:dyDescent="0.25">
      <c r="A240" s="17"/>
      <c r="B240" s="17"/>
      <c r="C240" s="17"/>
    </row>
    <row r="241" spans="1:3" x14ac:dyDescent="0.25">
      <c r="A241" s="17" t="s">
        <v>702</v>
      </c>
      <c r="B241" s="17">
        <v>301</v>
      </c>
      <c r="C241" s="17" t="s">
        <v>703</v>
      </c>
    </row>
    <row r="242" spans="1:3" x14ac:dyDescent="0.25">
      <c r="A242" s="17"/>
      <c r="B242" s="17"/>
      <c r="C242" s="17"/>
    </row>
    <row r="243" spans="1:3" x14ac:dyDescent="0.25">
      <c r="A243" s="17"/>
      <c r="B243" s="17"/>
      <c r="C243" s="17"/>
    </row>
    <row r="244" spans="1:3" x14ac:dyDescent="0.25">
      <c r="A244" s="17"/>
      <c r="B244" s="17"/>
      <c r="C244" s="17"/>
    </row>
    <row r="245" spans="1:3" x14ac:dyDescent="0.25">
      <c r="A245" s="17"/>
      <c r="B245" s="17"/>
      <c r="C245" s="17"/>
    </row>
    <row r="246" spans="1:3" x14ac:dyDescent="0.25">
      <c r="A246" s="17"/>
      <c r="B246" s="17"/>
      <c r="C246" s="17"/>
    </row>
    <row r="247" spans="1:3" x14ac:dyDescent="0.25">
      <c r="A247" s="17"/>
      <c r="B247" s="17"/>
      <c r="C247" s="17"/>
    </row>
    <row r="248" spans="1:3" x14ac:dyDescent="0.25">
      <c r="A248" s="17"/>
      <c r="B248" s="17"/>
      <c r="C248" s="17"/>
    </row>
    <row r="249" spans="1:3" x14ac:dyDescent="0.25">
      <c r="A249" s="17"/>
      <c r="B249" s="17"/>
      <c r="C249" s="17"/>
    </row>
    <row r="250" spans="1:3" x14ac:dyDescent="0.25">
      <c r="A250" s="17"/>
      <c r="B250" s="17"/>
      <c r="C250" s="17"/>
    </row>
    <row r="251" spans="1:3" x14ac:dyDescent="0.25">
      <c r="A251" s="17" t="s">
        <v>702</v>
      </c>
      <c r="B251" s="17">
        <v>302</v>
      </c>
      <c r="C251" s="17" t="s">
        <v>701</v>
      </c>
    </row>
    <row r="252" spans="1:3" x14ac:dyDescent="0.25">
      <c r="A252" s="17"/>
      <c r="B252" s="17"/>
      <c r="C252" s="17"/>
    </row>
    <row r="253" spans="1:3" x14ac:dyDescent="0.25">
      <c r="A253" s="17"/>
      <c r="B253" s="17"/>
      <c r="C253" s="17"/>
    </row>
    <row r="254" spans="1:3" x14ac:dyDescent="0.25">
      <c r="A254" s="17"/>
      <c r="B254" s="17"/>
      <c r="C254" s="17"/>
    </row>
    <row r="255" spans="1:3" x14ac:dyDescent="0.25">
      <c r="A255" s="17"/>
      <c r="B255" s="17"/>
      <c r="C255" s="17"/>
    </row>
    <row r="256" spans="1:3" x14ac:dyDescent="0.25">
      <c r="A256" s="17"/>
      <c r="B256" s="17"/>
      <c r="C256" s="17"/>
    </row>
    <row r="257" spans="1:3" x14ac:dyDescent="0.25">
      <c r="A257" s="17"/>
      <c r="B257" s="17"/>
      <c r="C257" s="17"/>
    </row>
    <row r="258" spans="1:3" x14ac:dyDescent="0.25">
      <c r="A258" s="17"/>
      <c r="B258" s="17"/>
      <c r="C258" s="17"/>
    </row>
    <row r="259" spans="1:3" x14ac:dyDescent="0.25">
      <c r="A259" s="17"/>
      <c r="B259" s="17"/>
      <c r="C259" s="17"/>
    </row>
    <row r="260" spans="1:3" x14ac:dyDescent="0.25">
      <c r="A260" s="17"/>
      <c r="B260" s="17"/>
      <c r="C260" s="17"/>
    </row>
    <row r="261" spans="1:3" x14ac:dyDescent="0.25">
      <c r="A261" s="17" t="s">
        <v>702</v>
      </c>
      <c r="B261" s="17">
        <v>303</v>
      </c>
      <c r="C261" s="17" t="s">
        <v>703</v>
      </c>
    </row>
    <row r="262" spans="1:3" x14ac:dyDescent="0.25">
      <c r="A262" s="17"/>
      <c r="B262" s="17"/>
      <c r="C262" s="17"/>
    </row>
    <row r="263" spans="1:3" x14ac:dyDescent="0.25">
      <c r="A263" s="17"/>
      <c r="B263" s="17"/>
      <c r="C263" s="17"/>
    </row>
    <row r="264" spans="1:3" x14ac:dyDescent="0.25">
      <c r="A264" s="17"/>
      <c r="B264" s="17"/>
      <c r="C264" s="17"/>
    </row>
    <row r="265" spans="1:3" x14ac:dyDescent="0.25">
      <c r="A265" s="17"/>
      <c r="B265" s="17"/>
      <c r="C265" s="17"/>
    </row>
    <row r="266" spans="1:3" x14ac:dyDescent="0.25">
      <c r="A266" s="17"/>
      <c r="B266" s="17"/>
      <c r="C266" s="17"/>
    </row>
    <row r="267" spans="1:3" x14ac:dyDescent="0.25">
      <c r="A267" s="17"/>
      <c r="B267" s="17"/>
      <c r="C267" s="17"/>
    </row>
    <row r="268" spans="1:3" x14ac:dyDescent="0.25">
      <c r="A268" s="17"/>
      <c r="B268" s="17"/>
      <c r="C268" s="17"/>
    </row>
    <row r="269" spans="1:3" x14ac:dyDescent="0.25">
      <c r="A269" s="17"/>
      <c r="B269" s="17"/>
      <c r="C269" s="17"/>
    </row>
    <row r="270" spans="1:3" x14ac:dyDescent="0.25">
      <c r="A270" s="17"/>
      <c r="B270" s="17"/>
      <c r="C270" s="17"/>
    </row>
    <row r="271" spans="1:3" x14ac:dyDescent="0.25">
      <c r="A271" s="17" t="s">
        <v>702</v>
      </c>
      <c r="B271" s="17">
        <v>304</v>
      </c>
      <c r="C271" s="17" t="s">
        <v>704</v>
      </c>
    </row>
    <row r="272" spans="1:3" x14ac:dyDescent="0.25">
      <c r="A272" s="17"/>
      <c r="B272" s="17"/>
      <c r="C272" s="17"/>
    </row>
    <row r="273" spans="1:3" x14ac:dyDescent="0.25">
      <c r="A273" s="17"/>
      <c r="B273" s="17"/>
      <c r="C273" s="17"/>
    </row>
    <row r="274" spans="1:3" x14ac:dyDescent="0.25">
      <c r="A274" s="17"/>
      <c r="B274" s="17"/>
      <c r="C274" s="17"/>
    </row>
    <row r="275" spans="1:3" x14ac:dyDescent="0.25">
      <c r="A275" s="17"/>
      <c r="B275" s="17"/>
      <c r="C275" s="17"/>
    </row>
    <row r="276" spans="1:3" x14ac:dyDescent="0.25">
      <c r="A276" s="17"/>
      <c r="B276" s="17"/>
      <c r="C276" s="17"/>
    </row>
    <row r="277" spans="1:3" x14ac:dyDescent="0.25">
      <c r="A277" s="17"/>
      <c r="B277" s="17"/>
      <c r="C277" s="17"/>
    </row>
    <row r="278" spans="1:3" x14ac:dyDescent="0.25">
      <c r="A278" s="17"/>
      <c r="B278" s="17"/>
      <c r="C278" s="17"/>
    </row>
    <row r="279" spans="1:3" x14ac:dyDescent="0.25">
      <c r="A279" s="17"/>
      <c r="B279" s="17"/>
      <c r="C279" s="17"/>
    </row>
    <row r="280" spans="1:3" x14ac:dyDescent="0.25">
      <c r="A280" s="17"/>
      <c r="B280" s="17"/>
      <c r="C280" s="17"/>
    </row>
    <row r="281" spans="1:3" x14ac:dyDescent="0.25">
      <c r="A281" s="17" t="s">
        <v>702</v>
      </c>
      <c r="B281" s="17">
        <v>305</v>
      </c>
      <c r="C281" s="17" t="s">
        <v>703</v>
      </c>
    </row>
    <row r="282" spans="1:3" x14ac:dyDescent="0.25">
      <c r="A282" s="17"/>
      <c r="B282" s="17"/>
      <c r="C282" s="17"/>
    </row>
    <row r="283" spans="1:3" x14ac:dyDescent="0.25">
      <c r="A283" s="17"/>
      <c r="B283" s="17"/>
      <c r="C283" s="17"/>
    </row>
    <row r="284" spans="1:3" x14ac:dyDescent="0.25">
      <c r="A284" s="17"/>
      <c r="B284" s="17"/>
      <c r="C284" s="17"/>
    </row>
    <row r="285" spans="1:3" x14ac:dyDescent="0.25">
      <c r="A285" s="17"/>
      <c r="B285" s="17"/>
      <c r="C285" s="17"/>
    </row>
    <row r="286" spans="1:3" x14ac:dyDescent="0.25">
      <c r="A286" s="17"/>
      <c r="B286" s="17"/>
      <c r="C286" s="17"/>
    </row>
    <row r="287" spans="1:3" x14ac:dyDescent="0.25">
      <c r="A287" s="17"/>
      <c r="B287" s="17"/>
      <c r="C287" s="17"/>
    </row>
    <row r="288" spans="1:3" x14ac:dyDescent="0.25">
      <c r="A288" s="17"/>
      <c r="B288" s="17"/>
      <c r="C288" s="17"/>
    </row>
    <row r="289" spans="1:3" x14ac:dyDescent="0.25">
      <c r="A289" s="17"/>
      <c r="B289" s="17"/>
      <c r="C289" s="17"/>
    </row>
    <row r="290" spans="1:3" x14ac:dyDescent="0.25">
      <c r="A290" s="17"/>
      <c r="B290" s="17"/>
      <c r="C290" s="17"/>
    </row>
    <row r="291" spans="1:3" x14ac:dyDescent="0.25">
      <c r="A291" s="17" t="s">
        <v>702</v>
      </c>
      <c r="B291" s="17">
        <v>306</v>
      </c>
      <c r="C291" s="17" t="s">
        <v>703</v>
      </c>
    </row>
    <row r="292" spans="1:3" x14ac:dyDescent="0.25">
      <c r="A292" s="17"/>
      <c r="B292" s="17"/>
      <c r="C292" s="17"/>
    </row>
    <row r="293" spans="1:3" x14ac:dyDescent="0.25">
      <c r="A293" s="17"/>
      <c r="B293" s="17"/>
      <c r="C293" s="17"/>
    </row>
    <row r="294" spans="1:3" x14ac:dyDescent="0.25">
      <c r="A294" s="17"/>
      <c r="B294" s="17"/>
      <c r="C294" s="17"/>
    </row>
    <row r="295" spans="1:3" x14ac:dyDescent="0.25">
      <c r="A295" s="17"/>
      <c r="B295" s="17"/>
      <c r="C295" s="17"/>
    </row>
    <row r="296" spans="1:3" x14ac:dyDescent="0.25">
      <c r="A296" s="17"/>
      <c r="B296" s="17"/>
      <c r="C296" s="17"/>
    </row>
    <row r="297" spans="1:3" x14ac:dyDescent="0.25">
      <c r="A297" s="17"/>
      <c r="B297" s="17"/>
      <c r="C297" s="17"/>
    </row>
    <row r="298" spans="1:3" x14ac:dyDescent="0.25">
      <c r="A298" s="17"/>
      <c r="B298" s="17"/>
      <c r="C298" s="17"/>
    </row>
    <row r="299" spans="1:3" x14ac:dyDescent="0.25">
      <c r="A299" s="17"/>
      <c r="B299" s="17"/>
      <c r="C299" s="17"/>
    </row>
    <row r="300" spans="1:3" x14ac:dyDescent="0.25">
      <c r="A300" s="17"/>
      <c r="B300" s="17"/>
      <c r="C300" s="17"/>
    </row>
    <row r="301" spans="1:3" x14ac:dyDescent="0.25">
      <c r="A301" s="17" t="s">
        <v>702</v>
      </c>
      <c r="B301" s="17">
        <v>307</v>
      </c>
      <c r="C301" s="17" t="s">
        <v>703</v>
      </c>
    </row>
    <row r="302" spans="1:3" x14ac:dyDescent="0.25">
      <c r="A302" s="17"/>
      <c r="B302" s="17"/>
      <c r="C302" s="17"/>
    </row>
    <row r="303" spans="1:3" x14ac:dyDescent="0.25">
      <c r="A303" s="17"/>
      <c r="B303" s="17"/>
      <c r="C303" s="17"/>
    </row>
    <row r="304" spans="1:3" x14ac:dyDescent="0.25">
      <c r="A304" s="17"/>
      <c r="B304" s="17"/>
      <c r="C304" s="17"/>
    </row>
    <row r="305" spans="1:3" x14ac:dyDescent="0.25">
      <c r="A305" s="17"/>
      <c r="B305" s="17"/>
      <c r="C305" s="17"/>
    </row>
    <row r="306" spans="1:3" x14ac:dyDescent="0.25">
      <c r="A306" s="17"/>
      <c r="B306" s="17"/>
      <c r="C306" s="17"/>
    </row>
    <row r="307" spans="1:3" x14ac:dyDescent="0.25">
      <c r="A307" s="17"/>
      <c r="B307" s="17"/>
      <c r="C307" s="17"/>
    </row>
    <row r="308" spans="1:3" x14ac:dyDescent="0.25">
      <c r="A308" s="17"/>
      <c r="B308" s="17"/>
      <c r="C308" s="17"/>
    </row>
    <row r="309" spans="1:3" x14ac:dyDescent="0.25">
      <c r="A309" s="17"/>
      <c r="B309" s="17"/>
      <c r="C309" s="17"/>
    </row>
    <row r="310" spans="1:3" x14ac:dyDescent="0.25">
      <c r="A310" s="17"/>
      <c r="B310" s="17"/>
      <c r="C310" s="17"/>
    </row>
    <row r="311" spans="1:3" x14ac:dyDescent="0.25">
      <c r="A311" s="17" t="s">
        <v>702</v>
      </c>
      <c r="B311" s="17">
        <v>308</v>
      </c>
      <c r="C311" s="17" t="s">
        <v>703</v>
      </c>
    </row>
    <row r="312" spans="1:3" x14ac:dyDescent="0.25">
      <c r="A312" s="17"/>
      <c r="B312" s="17"/>
      <c r="C312" s="17"/>
    </row>
    <row r="313" spans="1:3" x14ac:dyDescent="0.25">
      <c r="A313" s="17"/>
      <c r="B313" s="17"/>
      <c r="C313" s="17"/>
    </row>
    <row r="314" spans="1:3" x14ac:dyDescent="0.25">
      <c r="A314" s="17"/>
      <c r="B314" s="17"/>
      <c r="C314" s="17"/>
    </row>
    <row r="315" spans="1:3" x14ac:dyDescent="0.25">
      <c r="A315" s="17"/>
      <c r="B315" s="17"/>
      <c r="C315" s="17"/>
    </row>
    <row r="316" spans="1:3" x14ac:dyDescent="0.25">
      <c r="A316" s="17"/>
      <c r="B316" s="17"/>
      <c r="C316" s="17"/>
    </row>
    <row r="317" spans="1:3" x14ac:dyDescent="0.25">
      <c r="A317" s="17"/>
      <c r="B317" s="17"/>
      <c r="C317" s="17"/>
    </row>
    <row r="318" spans="1:3" x14ac:dyDescent="0.25">
      <c r="A318" s="17"/>
      <c r="B318" s="17"/>
      <c r="C318" s="17"/>
    </row>
    <row r="319" spans="1:3" x14ac:dyDescent="0.25">
      <c r="A319" s="17"/>
      <c r="B319" s="17"/>
      <c r="C319" s="17"/>
    </row>
    <row r="320" spans="1:3" x14ac:dyDescent="0.25">
      <c r="A320" s="17"/>
      <c r="B320" s="17"/>
      <c r="C320" s="17"/>
    </row>
    <row r="321" spans="1:3" x14ac:dyDescent="0.25">
      <c r="A321" s="17" t="s">
        <v>702</v>
      </c>
      <c r="B321" s="17">
        <v>309</v>
      </c>
      <c r="C321" s="17" t="s">
        <v>703</v>
      </c>
    </row>
    <row r="322" spans="1:3" x14ac:dyDescent="0.25">
      <c r="A322" s="17"/>
      <c r="B322" s="17"/>
      <c r="C322" s="17"/>
    </row>
    <row r="323" spans="1:3" x14ac:dyDescent="0.25">
      <c r="A323" s="17"/>
      <c r="B323" s="17"/>
      <c r="C323" s="17"/>
    </row>
    <row r="324" spans="1:3" x14ac:dyDescent="0.25">
      <c r="A324" s="17"/>
      <c r="B324" s="17"/>
      <c r="C324" s="17"/>
    </row>
    <row r="325" spans="1:3" x14ac:dyDescent="0.25">
      <c r="A325" s="17"/>
      <c r="B325" s="17"/>
      <c r="C325" s="17"/>
    </row>
    <row r="326" spans="1:3" x14ac:dyDescent="0.25">
      <c r="A326" s="17"/>
      <c r="B326" s="17"/>
      <c r="C326" s="17"/>
    </row>
    <row r="327" spans="1:3" x14ac:dyDescent="0.25">
      <c r="A327" s="17"/>
      <c r="B327" s="17"/>
      <c r="C327" s="17"/>
    </row>
    <row r="328" spans="1:3" x14ac:dyDescent="0.25">
      <c r="A328" s="17"/>
      <c r="B328" s="17"/>
      <c r="C328" s="17"/>
    </row>
    <row r="329" spans="1:3" x14ac:dyDescent="0.25">
      <c r="A329" s="17"/>
      <c r="B329" s="17"/>
      <c r="C329" s="17"/>
    </row>
    <row r="330" spans="1:3" x14ac:dyDescent="0.25">
      <c r="A330" s="17"/>
      <c r="B330" s="17"/>
      <c r="C330" s="17"/>
    </row>
    <row r="331" spans="1:3" x14ac:dyDescent="0.25">
      <c r="A331" s="17" t="s">
        <v>702</v>
      </c>
      <c r="B331" s="17">
        <v>310</v>
      </c>
      <c r="C331" s="17" t="s">
        <v>703</v>
      </c>
    </row>
    <row r="332" spans="1:3" x14ac:dyDescent="0.25">
      <c r="A332" s="17"/>
      <c r="B332" s="17"/>
      <c r="C332" s="17"/>
    </row>
    <row r="333" spans="1:3" x14ac:dyDescent="0.25">
      <c r="A333" s="17"/>
      <c r="B333" s="17"/>
      <c r="C333" s="17"/>
    </row>
    <row r="334" spans="1:3" x14ac:dyDescent="0.25">
      <c r="A334" s="17"/>
      <c r="B334" s="17"/>
      <c r="C334" s="17"/>
    </row>
    <row r="335" spans="1:3" x14ac:dyDescent="0.25">
      <c r="A335" s="17"/>
      <c r="B335" s="17"/>
      <c r="C335" s="17"/>
    </row>
    <row r="336" spans="1:3" x14ac:dyDescent="0.25">
      <c r="A336" s="17"/>
      <c r="B336" s="17"/>
      <c r="C336" s="17"/>
    </row>
    <row r="337" spans="1:3" x14ac:dyDescent="0.25">
      <c r="A337" s="17"/>
      <c r="B337" s="17"/>
      <c r="C337" s="17"/>
    </row>
    <row r="338" spans="1:3" x14ac:dyDescent="0.25">
      <c r="A338" s="17"/>
      <c r="B338" s="17"/>
      <c r="C338" s="17"/>
    </row>
    <row r="339" spans="1:3" x14ac:dyDescent="0.25">
      <c r="A339" s="17"/>
      <c r="B339" s="17"/>
      <c r="C339" s="17"/>
    </row>
    <row r="340" spans="1:3" x14ac:dyDescent="0.25">
      <c r="A340" s="17"/>
      <c r="B340" s="17"/>
      <c r="C340" s="17"/>
    </row>
    <row r="341" spans="1:3" x14ac:dyDescent="0.25">
      <c r="A341" s="17" t="s">
        <v>702</v>
      </c>
      <c r="B341" s="17">
        <v>311</v>
      </c>
      <c r="C341" s="17" t="s">
        <v>701</v>
      </c>
    </row>
    <row r="342" spans="1:3" x14ac:dyDescent="0.25">
      <c r="A342" s="17"/>
      <c r="B342" s="17"/>
      <c r="C342" s="17"/>
    </row>
    <row r="343" spans="1:3" x14ac:dyDescent="0.25">
      <c r="A343" s="17"/>
      <c r="B343" s="17"/>
      <c r="C343" s="17"/>
    </row>
    <row r="344" spans="1:3" x14ac:dyDescent="0.25">
      <c r="A344" s="17"/>
      <c r="B344" s="17"/>
      <c r="C344" s="17"/>
    </row>
    <row r="345" spans="1:3" x14ac:dyDescent="0.25">
      <c r="A345" s="17"/>
      <c r="B345" s="17"/>
      <c r="C345" s="17"/>
    </row>
    <row r="346" spans="1:3" x14ac:dyDescent="0.25">
      <c r="A346" s="17"/>
      <c r="B346" s="17"/>
      <c r="C346" s="17"/>
    </row>
    <row r="347" spans="1:3" x14ac:dyDescent="0.25">
      <c r="A347" s="17"/>
      <c r="B347" s="17"/>
      <c r="C347" s="17"/>
    </row>
    <row r="348" spans="1:3" x14ac:dyDescent="0.25">
      <c r="A348" s="17"/>
      <c r="B348" s="17"/>
      <c r="C348" s="17"/>
    </row>
    <row r="349" spans="1:3" x14ac:dyDescent="0.25">
      <c r="A349" s="17"/>
      <c r="B349" s="17"/>
      <c r="C349" s="17"/>
    </row>
    <row r="350" spans="1:3" x14ac:dyDescent="0.25">
      <c r="A350" s="17"/>
      <c r="B350" s="17"/>
      <c r="C350" s="17"/>
    </row>
    <row r="351" spans="1:3" x14ac:dyDescent="0.25">
      <c r="A351" s="17" t="s">
        <v>702</v>
      </c>
      <c r="B351" s="17">
        <v>312</v>
      </c>
      <c r="C351" s="17" t="s">
        <v>703</v>
      </c>
    </row>
    <row r="352" spans="1:3" x14ac:dyDescent="0.25">
      <c r="A352" s="17"/>
      <c r="B352" s="17"/>
      <c r="C352" s="17"/>
    </row>
    <row r="353" spans="1:3" x14ac:dyDescent="0.25">
      <c r="A353" s="17"/>
      <c r="B353" s="17"/>
      <c r="C353" s="17"/>
    </row>
    <row r="354" spans="1:3" x14ac:dyDescent="0.25">
      <c r="A354" s="17"/>
      <c r="B354" s="17"/>
      <c r="C354" s="17"/>
    </row>
    <row r="355" spans="1:3" x14ac:dyDescent="0.25">
      <c r="A355" s="17"/>
      <c r="B355" s="17"/>
      <c r="C355" s="17"/>
    </row>
    <row r="356" spans="1:3" x14ac:dyDescent="0.25">
      <c r="A356" s="17"/>
      <c r="B356" s="17"/>
      <c r="C356" s="17"/>
    </row>
    <row r="357" spans="1:3" x14ac:dyDescent="0.25">
      <c r="A357" s="17"/>
      <c r="B357" s="17"/>
      <c r="C357" s="17"/>
    </row>
    <row r="358" spans="1:3" x14ac:dyDescent="0.25">
      <c r="A358" s="17"/>
      <c r="B358" s="17"/>
      <c r="C358" s="17"/>
    </row>
    <row r="359" spans="1:3" x14ac:dyDescent="0.25">
      <c r="A359" s="17"/>
      <c r="B359" s="17"/>
      <c r="C359" s="17"/>
    </row>
    <row r="360" spans="1:3" x14ac:dyDescent="0.25">
      <c r="A360" s="17"/>
      <c r="B360" s="17"/>
      <c r="C360" s="17"/>
    </row>
    <row r="361" spans="1:3" x14ac:dyDescent="0.25">
      <c r="A361" s="17" t="s">
        <v>702</v>
      </c>
      <c r="B361" s="17">
        <v>314</v>
      </c>
      <c r="C361" s="17" t="s">
        <v>701</v>
      </c>
    </row>
    <row r="362" spans="1:3" x14ac:dyDescent="0.25">
      <c r="A362" s="17"/>
      <c r="B362" s="17"/>
      <c r="C362" s="17"/>
    </row>
    <row r="363" spans="1:3" x14ac:dyDescent="0.25">
      <c r="A363" s="17"/>
      <c r="B363" s="17"/>
      <c r="C363" s="17"/>
    </row>
    <row r="364" spans="1:3" x14ac:dyDescent="0.25">
      <c r="A364" s="17"/>
      <c r="B364" s="17"/>
      <c r="C364" s="17"/>
    </row>
    <row r="365" spans="1:3" x14ac:dyDescent="0.25">
      <c r="A365" s="17"/>
      <c r="B365" s="17"/>
      <c r="C365" s="17"/>
    </row>
    <row r="366" spans="1:3" x14ac:dyDescent="0.25">
      <c r="A366" s="17"/>
      <c r="B366" s="17"/>
      <c r="C366" s="17"/>
    </row>
    <row r="367" spans="1:3" x14ac:dyDescent="0.25">
      <c r="A367" s="17"/>
      <c r="B367" s="17"/>
      <c r="C367" s="17"/>
    </row>
    <row r="368" spans="1:3" x14ac:dyDescent="0.25">
      <c r="A368" s="17"/>
      <c r="B368" s="17"/>
      <c r="C368" s="17"/>
    </row>
    <row r="369" spans="1:3" x14ac:dyDescent="0.25">
      <c r="A369" s="17"/>
      <c r="B369" s="17"/>
      <c r="C369" s="17"/>
    </row>
    <row r="370" spans="1:3" x14ac:dyDescent="0.25">
      <c r="A370" s="17"/>
      <c r="B370" s="17"/>
      <c r="C370" s="17"/>
    </row>
    <row r="371" spans="1:3" x14ac:dyDescent="0.25">
      <c r="A371" s="17" t="s">
        <v>702</v>
      </c>
      <c r="B371" s="17">
        <v>315</v>
      </c>
      <c r="C371" s="17" t="s">
        <v>703</v>
      </c>
    </row>
    <row r="372" spans="1:3" x14ac:dyDescent="0.25">
      <c r="A372" s="17"/>
      <c r="B372" s="17"/>
      <c r="C372" s="17"/>
    </row>
    <row r="373" spans="1:3" x14ac:dyDescent="0.25">
      <c r="A373" s="17"/>
      <c r="B373" s="17"/>
      <c r="C373" s="17"/>
    </row>
    <row r="374" spans="1:3" x14ac:dyDescent="0.25">
      <c r="A374" s="17"/>
      <c r="B374" s="17"/>
      <c r="C374" s="17"/>
    </row>
    <row r="375" spans="1:3" x14ac:dyDescent="0.25">
      <c r="A375" s="17"/>
      <c r="B375" s="17"/>
      <c r="C375" s="17"/>
    </row>
    <row r="376" spans="1:3" x14ac:dyDescent="0.25">
      <c r="A376" s="17"/>
      <c r="B376" s="17"/>
      <c r="C376" s="17"/>
    </row>
    <row r="377" spans="1:3" x14ac:dyDescent="0.25">
      <c r="A377" s="17"/>
      <c r="B377" s="17"/>
      <c r="C377" s="17"/>
    </row>
    <row r="378" spans="1:3" x14ac:dyDescent="0.25">
      <c r="A378" s="17"/>
      <c r="B378" s="17"/>
      <c r="C378" s="17"/>
    </row>
    <row r="379" spans="1:3" x14ac:dyDescent="0.25">
      <c r="A379" s="17"/>
      <c r="B379" s="17"/>
      <c r="C379" s="17"/>
    </row>
    <row r="380" spans="1:3" x14ac:dyDescent="0.25">
      <c r="A380" s="17"/>
      <c r="B380" s="17"/>
      <c r="C380" s="17"/>
    </row>
    <row r="381" spans="1:3" x14ac:dyDescent="0.25">
      <c r="A381" s="17" t="s">
        <v>702</v>
      </c>
      <c r="B381" s="17">
        <v>317</v>
      </c>
      <c r="C381" s="17" t="s">
        <v>701</v>
      </c>
    </row>
    <row r="382" spans="1:3" x14ac:dyDescent="0.25">
      <c r="A382" s="17"/>
      <c r="B382" s="17"/>
      <c r="C382" s="17"/>
    </row>
    <row r="383" spans="1:3" x14ac:dyDescent="0.25">
      <c r="A383" s="17"/>
      <c r="B383" s="17"/>
      <c r="C383" s="17"/>
    </row>
    <row r="384" spans="1:3" x14ac:dyDescent="0.25">
      <c r="A384" s="17"/>
      <c r="B384" s="17"/>
      <c r="C384" s="17"/>
    </row>
    <row r="385" spans="1:3" x14ac:dyDescent="0.25">
      <c r="A385" s="17"/>
      <c r="B385" s="17"/>
      <c r="C385" s="17"/>
    </row>
    <row r="386" spans="1:3" x14ac:dyDescent="0.25">
      <c r="A386" s="17"/>
      <c r="B386" s="17"/>
      <c r="C386" s="17"/>
    </row>
    <row r="387" spans="1:3" x14ac:dyDescent="0.25">
      <c r="A387" s="17"/>
      <c r="B387" s="17"/>
      <c r="C387" s="17"/>
    </row>
    <row r="388" spans="1:3" x14ac:dyDescent="0.25">
      <c r="A388" s="17"/>
      <c r="B388" s="17"/>
      <c r="C388" s="17"/>
    </row>
    <row r="389" spans="1:3" x14ac:dyDescent="0.25">
      <c r="A389" s="17"/>
      <c r="B389" s="17"/>
      <c r="C389" s="17"/>
    </row>
    <row r="390" spans="1:3" x14ac:dyDescent="0.25">
      <c r="A390" s="17"/>
      <c r="B390" s="17"/>
      <c r="C390" s="17"/>
    </row>
    <row r="391" spans="1:3" x14ac:dyDescent="0.25">
      <c r="A391" s="17" t="s">
        <v>702</v>
      </c>
      <c r="B391" s="17">
        <v>318</v>
      </c>
      <c r="C391" s="17" t="s">
        <v>703</v>
      </c>
    </row>
    <row r="392" spans="1:3" x14ac:dyDescent="0.25">
      <c r="A392" s="17"/>
      <c r="B392" s="17"/>
      <c r="C392" s="17"/>
    </row>
    <row r="393" spans="1:3" x14ac:dyDescent="0.25">
      <c r="A393" s="17"/>
      <c r="B393" s="17"/>
      <c r="C393" s="17"/>
    </row>
    <row r="394" spans="1:3" x14ac:dyDescent="0.25">
      <c r="A394" s="17"/>
      <c r="B394" s="17"/>
      <c r="C394" s="17"/>
    </row>
    <row r="395" spans="1:3" x14ac:dyDescent="0.25">
      <c r="A395" s="17"/>
      <c r="B395" s="17"/>
      <c r="C395" s="17"/>
    </row>
    <row r="396" spans="1:3" x14ac:dyDescent="0.25">
      <c r="A396" s="17"/>
      <c r="B396" s="17"/>
      <c r="C396" s="17"/>
    </row>
    <row r="397" spans="1:3" x14ac:dyDescent="0.25">
      <c r="A397" s="17"/>
      <c r="B397" s="17"/>
      <c r="C397" s="17"/>
    </row>
    <row r="398" spans="1:3" x14ac:dyDescent="0.25">
      <c r="A398" s="17"/>
      <c r="B398" s="17"/>
      <c r="C398" s="17"/>
    </row>
    <row r="399" spans="1:3" x14ac:dyDescent="0.25">
      <c r="A399" s="17"/>
      <c r="B399" s="17"/>
      <c r="C399" s="17"/>
    </row>
    <row r="400" spans="1:3" x14ac:dyDescent="0.25">
      <c r="A400" s="17"/>
      <c r="B400" s="17"/>
      <c r="C400" s="17"/>
    </row>
    <row r="401" spans="1:3" x14ac:dyDescent="0.25">
      <c r="A401" s="17" t="s">
        <v>702</v>
      </c>
      <c r="B401" s="17">
        <v>319</v>
      </c>
      <c r="C401" s="17" t="s">
        <v>703</v>
      </c>
    </row>
    <row r="402" spans="1:3" x14ac:dyDescent="0.25">
      <c r="A402" s="17"/>
      <c r="B402" s="17"/>
      <c r="C402" s="17"/>
    </row>
    <row r="403" spans="1:3" x14ac:dyDescent="0.25">
      <c r="A403" s="17"/>
      <c r="B403" s="17"/>
      <c r="C403" s="17"/>
    </row>
    <row r="404" spans="1:3" x14ac:dyDescent="0.25">
      <c r="A404" s="17"/>
      <c r="B404" s="17"/>
      <c r="C404" s="17"/>
    </row>
    <row r="405" spans="1:3" x14ac:dyDescent="0.25">
      <c r="A405" s="17"/>
      <c r="B405" s="17"/>
      <c r="C405" s="17"/>
    </row>
    <row r="406" spans="1:3" x14ac:dyDescent="0.25">
      <c r="A406" s="17"/>
      <c r="B406" s="17"/>
      <c r="C406" s="17"/>
    </row>
    <row r="407" spans="1:3" x14ac:dyDescent="0.25">
      <c r="A407" s="17"/>
      <c r="B407" s="17"/>
      <c r="C407" s="17"/>
    </row>
    <row r="408" spans="1:3" x14ac:dyDescent="0.25">
      <c r="A408" s="17"/>
      <c r="B408" s="17"/>
      <c r="C408" s="17"/>
    </row>
    <row r="409" spans="1:3" x14ac:dyDescent="0.25">
      <c r="A409" s="17"/>
      <c r="B409" s="17"/>
      <c r="C409" s="17"/>
    </row>
    <row r="410" spans="1:3" x14ac:dyDescent="0.25">
      <c r="A410" s="17"/>
      <c r="B410" s="17"/>
      <c r="C410" s="17"/>
    </row>
    <row r="411" spans="1:3" x14ac:dyDescent="0.25">
      <c r="A411" s="17" t="s">
        <v>702</v>
      </c>
      <c r="B411" s="17">
        <v>320</v>
      </c>
      <c r="C411" s="17" t="s">
        <v>703</v>
      </c>
    </row>
    <row r="412" spans="1:3" x14ac:dyDescent="0.25">
      <c r="A412" s="17"/>
      <c r="B412" s="17"/>
      <c r="C412" s="17"/>
    </row>
    <row r="413" spans="1:3" x14ac:dyDescent="0.25">
      <c r="A413" s="17"/>
      <c r="B413" s="17"/>
      <c r="C413" s="17"/>
    </row>
    <row r="414" spans="1:3" x14ac:dyDescent="0.25">
      <c r="A414" s="17"/>
      <c r="B414" s="17"/>
      <c r="C414" s="17"/>
    </row>
    <row r="415" spans="1:3" x14ac:dyDescent="0.25">
      <c r="A415" s="17"/>
      <c r="B415" s="17"/>
      <c r="C415" s="17"/>
    </row>
    <row r="416" spans="1:3" x14ac:dyDescent="0.25">
      <c r="A416" s="17"/>
      <c r="B416" s="17"/>
      <c r="C416" s="17"/>
    </row>
    <row r="417" spans="1:3" x14ac:dyDescent="0.25">
      <c r="A417" s="17"/>
      <c r="B417" s="17"/>
      <c r="C417" s="17"/>
    </row>
    <row r="418" spans="1:3" x14ac:dyDescent="0.25">
      <c r="A418" s="17"/>
      <c r="B418" s="17"/>
      <c r="C418" s="17"/>
    </row>
    <row r="419" spans="1:3" x14ac:dyDescent="0.25">
      <c r="A419" s="17"/>
      <c r="B419" s="17"/>
      <c r="C419" s="17"/>
    </row>
    <row r="420" spans="1:3" x14ac:dyDescent="0.25">
      <c r="A420" s="17"/>
      <c r="B420" s="17"/>
      <c r="C420" s="17"/>
    </row>
    <row r="421" spans="1:3" x14ac:dyDescent="0.25">
      <c r="A421" s="17" t="s">
        <v>702</v>
      </c>
      <c r="B421" s="17">
        <v>321</v>
      </c>
      <c r="C421" s="17" t="s">
        <v>704</v>
      </c>
    </row>
    <row r="422" spans="1:3" x14ac:dyDescent="0.25">
      <c r="A422" s="17"/>
      <c r="B422" s="17"/>
      <c r="C422" s="17"/>
    </row>
    <row r="423" spans="1:3" x14ac:dyDescent="0.25">
      <c r="A423" s="17"/>
      <c r="B423" s="17"/>
      <c r="C423" s="17"/>
    </row>
    <row r="424" spans="1:3" x14ac:dyDescent="0.25">
      <c r="A424" s="17"/>
      <c r="B424" s="17"/>
      <c r="C424" s="17"/>
    </row>
    <row r="425" spans="1:3" x14ac:dyDescent="0.25">
      <c r="A425" s="17"/>
      <c r="B425" s="17"/>
      <c r="C425" s="17"/>
    </row>
    <row r="426" spans="1:3" x14ac:dyDescent="0.25">
      <c r="A426" s="17"/>
      <c r="B426" s="17"/>
      <c r="C426" s="17"/>
    </row>
    <row r="427" spans="1:3" x14ac:dyDescent="0.25">
      <c r="A427" s="17"/>
      <c r="B427" s="17"/>
      <c r="C427" s="17"/>
    </row>
    <row r="428" spans="1:3" x14ac:dyDescent="0.25">
      <c r="A428" s="17"/>
      <c r="B428" s="17"/>
      <c r="C428" s="17"/>
    </row>
    <row r="429" spans="1:3" x14ac:dyDescent="0.25">
      <c r="A429" s="17"/>
      <c r="B429" s="17"/>
      <c r="C429" s="17"/>
    </row>
    <row r="430" spans="1:3" x14ac:dyDescent="0.25">
      <c r="A430" s="17"/>
      <c r="B430" s="17"/>
      <c r="C430" s="17"/>
    </row>
    <row r="431" spans="1:3" x14ac:dyDescent="0.25">
      <c r="A431" s="17" t="s">
        <v>702</v>
      </c>
      <c r="B431" s="17">
        <v>322</v>
      </c>
      <c r="C431" s="17" t="s">
        <v>703</v>
      </c>
    </row>
    <row r="432" spans="1:3" x14ac:dyDescent="0.25">
      <c r="A432" s="17"/>
      <c r="B432" s="17"/>
      <c r="C432" s="17"/>
    </row>
    <row r="433" spans="1:3" x14ac:dyDescent="0.25">
      <c r="A433" s="17"/>
      <c r="B433" s="17"/>
      <c r="C433" s="17"/>
    </row>
    <row r="434" spans="1:3" x14ac:dyDescent="0.25">
      <c r="A434" s="17"/>
      <c r="B434" s="17"/>
      <c r="C434" s="17"/>
    </row>
    <row r="435" spans="1:3" x14ac:dyDescent="0.25">
      <c r="A435" s="17"/>
      <c r="B435" s="17"/>
      <c r="C435" s="17"/>
    </row>
    <row r="436" spans="1:3" x14ac:dyDescent="0.25">
      <c r="A436" s="17"/>
      <c r="B436" s="17"/>
      <c r="C436" s="17"/>
    </row>
    <row r="437" spans="1:3" x14ac:dyDescent="0.25">
      <c r="A437" s="17"/>
      <c r="B437" s="17"/>
      <c r="C437" s="17"/>
    </row>
    <row r="438" spans="1:3" x14ac:dyDescent="0.25">
      <c r="A438" s="17"/>
      <c r="B438" s="17"/>
      <c r="C438" s="17"/>
    </row>
    <row r="439" spans="1:3" x14ac:dyDescent="0.25">
      <c r="A439" s="17"/>
      <c r="B439" s="17"/>
      <c r="C439" s="17"/>
    </row>
    <row r="440" spans="1:3" x14ac:dyDescent="0.25">
      <c r="A440" s="17"/>
      <c r="B440" s="17"/>
      <c r="C440" s="17"/>
    </row>
    <row r="441" spans="1:3" x14ac:dyDescent="0.25">
      <c r="A441" s="17" t="s">
        <v>702</v>
      </c>
      <c r="B441" s="17">
        <v>325</v>
      </c>
      <c r="C441" s="17" t="s">
        <v>703</v>
      </c>
    </row>
    <row r="442" spans="1:3" x14ac:dyDescent="0.25">
      <c r="A442" s="17"/>
      <c r="B442" s="17"/>
      <c r="C442" s="17"/>
    </row>
    <row r="443" spans="1:3" x14ac:dyDescent="0.25">
      <c r="A443" s="17"/>
      <c r="B443" s="17"/>
      <c r="C443" s="17"/>
    </row>
    <row r="444" spans="1:3" x14ac:dyDescent="0.25">
      <c r="A444" s="17"/>
      <c r="B444" s="17"/>
      <c r="C444" s="17"/>
    </row>
    <row r="445" spans="1:3" x14ac:dyDescent="0.25">
      <c r="A445" s="17"/>
      <c r="B445" s="17"/>
      <c r="C445" s="17"/>
    </row>
    <row r="446" spans="1:3" x14ac:dyDescent="0.25">
      <c r="A446" s="17"/>
      <c r="B446" s="17"/>
      <c r="C446" s="17"/>
    </row>
    <row r="447" spans="1:3" x14ac:dyDescent="0.25">
      <c r="A447" s="17"/>
      <c r="B447" s="17"/>
      <c r="C447" s="17"/>
    </row>
    <row r="448" spans="1:3" x14ac:dyDescent="0.25">
      <c r="A448" s="17"/>
      <c r="B448" s="17"/>
      <c r="C448" s="17"/>
    </row>
    <row r="449" spans="1:3" x14ac:dyDescent="0.25">
      <c r="A449" s="17"/>
      <c r="B449" s="17"/>
      <c r="C449" s="17"/>
    </row>
    <row r="450" spans="1:3" x14ac:dyDescent="0.25">
      <c r="A450" s="17"/>
      <c r="B450" s="17"/>
      <c r="C450" s="17"/>
    </row>
    <row r="451" spans="1:3" x14ac:dyDescent="0.25">
      <c r="A451" s="17" t="s">
        <v>702</v>
      </c>
      <c r="B451" s="17">
        <v>327</v>
      </c>
      <c r="C451" s="17" t="s">
        <v>703</v>
      </c>
    </row>
    <row r="452" spans="1:3" x14ac:dyDescent="0.25">
      <c r="A452" s="17"/>
      <c r="B452" s="17"/>
      <c r="C452" s="17"/>
    </row>
    <row r="453" spans="1:3" x14ac:dyDescent="0.25">
      <c r="A453" s="17"/>
      <c r="B453" s="17"/>
      <c r="C453" s="17"/>
    </row>
    <row r="454" spans="1:3" x14ac:dyDescent="0.25">
      <c r="A454" s="17"/>
      <c r="B454" s="17"/>
      <c r="C454" s="17"/>
    </row>
    <row r="455" spans="1:3" x14ac:dyDescent="0.25">
      <c r="A455" s="17"/>
      <c r="B455" s="17"/>
      <c r="C455" s="17"/>
    </row>
    <row r="456" spans="1:3" x14ac:dyDescent="0.25">
      <c r="A456" s="17"/>
      <c r="B456" s="17"/>
      <c r="C456" s="17"/>
    </row>
    <row r="457" spans="1:3" x14ac:dyDescent="0.25">
      <c r="A457" s="17"/>
      <c r="B457" s="17"/>
      <c r="C457" s="17"/>
    </row>
    <row r="458" spans="1:3" x14ac:dyDescent="0.25">
      <c r="A458" s="17"/>
      <c r="B458" s="17"/>
      <c r="C458" s="17"/>
    </row>
    <row r="459" spans="1:3" x14ac:dyDescent="0.25">
      <c r="A459" s="17"/>
      <c r="B459" s="17"/>
      <c r="C459" s="17"/>
    </row>
    <row r="460" spans="1:3" x14ac:dyDescent="0.25">
      <c r="A460" s="17"/>
      <c r="B460" s="17"/>
      <c r="C460" s="17"/>
    </row>
    <row r="461" spans="1:3" x14ac:dyDescent="0.25">
      <c r="A461" s="17" t="s">
        <v>702</v>
      </c>
      <c r="B461" s="17">
        <v>328</v>
      </c>
      <c r="C461" s="17" t="s">
        <v>703</v>
      </c>
    </row>
    <row r="462" spans="1:3" x14ac:dyDescent="0.25">
      <c r="A462" s="17"/>
      <c r="B462" s="17"/>
      <c r="C462" s="17"/>
    </row>
    <row r="463" spans="1:3" x14ac:dyDescent="0.25">
      <c r="A463" s="17"/>
      <c r="B463" s="17"/>
      <c r="C463" s="17"/>
    </row>
    <row r="464" spans="1:3" x14ac:dyDescent="0.25">
      <c r="A464" s="17"/>
      <c r="B464" s="17"/>
      <c r="C464" s="17"/>
    </row>
    <row r="465" spans="1:3" x14ac:dyDescent="0.25">
      <c r="A465" s="17"/>
      <c r="B465" s="17"/>
      <c r="C465" s="17"/>
    </row>
    <row r="466" spans="1:3" x14ac:dyDescent="0.25">
      <c r="A466" s="17"/>
      <c r="B466" s="17"/>
      <c r="C466" s="17"/>
    </row>
    <row r="467" spans="1:3" x14ac:dyDescent="0.25">
      <c r="A467" s="17"/>
      <c r="B467" s="17"/>
      <c r="C467" s="17"/>
    </row>
    <row r="468" spans="1:3" x14ac:dyDescent="0.25">
      <c r="A468" s="17"/>
      <c r="B468" s="17"/>
      <c r="C468" s="17"/>
    </row>
    <row r="469" spans="1:3" x14ac:dyDescent="0.25">
      <c r="A469" s="17"/>
      <c r="B469" s="17"/>
      <c r="C469" s="17"/>
    </row>
    <row r="470" spans="1:3" x14ac:dyDescent="0.25">
      <c r="A470" s="17"/>
      <c r="B470" s="17"/>
      <c r="C470" s="17"/>
    </row>
    <row r="471" spans="1:3" x14ac:dyDescent="0.25">
      <c r="A471" s="17" t="s">
        <v>702</v>
      </c>
      <c r="B471" s="17">
        <v>330</v>
      </c>
      <c r="C471" s="17" t="s">
        <v>703</v>
      </c>
    </row>
    <row r="472" spans="1:3" x14ac:dyDescent="0.25">
      <c r="A472" s="17"/>
      <c r="B472" s="17"/>
      <c r="C472" s="17"/>
    </row>
    <row r="473" spans="1:3" x14ac:dyDescent="0.25">
      <c r="A473" s="17"/>
      <c r="B473" s="17"/>
      <c r="C473" s="17"/>
    </row>
    <row r="474" spans="1:3" x14ac:dyDescent="0.25">
      <c r="A474" s="17"/>
      <c r="B474" s="17"/>
      <c r="C474" s="17"/>
    </row>
    <row r="475" spans="1:3" x14ac:dyDescent="0.25">
      <c r="A475" s="17"/>
      <c r="B475" s="17"/>
      <c r="C475" s="17"/>
    </row>
    <row r="476" spans="1:3" x14ac:dyDescent="0.25">
      <c r="A476" s="17"/>
      <c r="B476" s="17"/>
      <c r="C476" s="17"/>
    </row>
    <row r="477" spans="1:3" x14ac:dyDescent="0.25">
      <c r="A477" s="17"/>
      <c r="B477" s="17"/>
      <c r="C477" s="17"/>
    </row>
    <row r="478" spans="1:3" x14ac:dyDescent="0.25">
      <c r="A478" s="17"/>
      <c r="B478" s="17"/>
      <c r="C478" s="17"/>
    </row>
    <row r="479" spans="1:3" x14ac:dyDescent="0.25">
      <c r="A479" s="17"/>
      <c r="B479" s="17"/>
      <c r="C479" s="17"/>
    </row>
    <row r="480" spans="1:3" x14ac:dyDescent="0.25">
      <c r="A480" s="17"/>
      <c r="B480" s="17"/>
      <c r="C480" s="17"/>
    </row>
    <row r="481" spans="1:3" x14ac:dyDescent="0.25">
      <c r="A481" s="17" t="s">
        <v>702</v>
      </c>
      <c r="B481" s="17">
        <v>331</v>
      </c>
      <c r="C481" s="17" t="s">
        <v>701</v>
      </c>
    </row>
    <row r="482" spans="1:3" x14ac:dyDescent="0.25">
      <c r="A482" s="17"/>
      <c r="B482" s="17"/>
      <c r="C482" s="17"/>
    </row>
    <row r="483" spans="1:3" x14ac:dyDescent="0.25">
      <c r="A483" s="17"/>
      <c r="B483" s="17"/>
      <c r="C483" s="17"/>
    </row>
    <row r="484" spans="1:3" x14ac:dyDescent="0.25">
      <c r="A484" s="17"/>
      <c r="B484" s="17"/>
      <c r="C484" s="17"/>
    </row>
    <row r="485" spans="1:3" x14ac:dyDescent="0.25">
      <c r="A485" s="17"/>
      <c r="B485" s="17"/>
      <c r="C485" s="17"/>
    </row>
    <row r="486" spans="1:3" x14ac:dyDescent="0.25">
      <c r="A486" s="17"/>
      <c r="B486" s="17"/>
      <c r="C486" s="17"/>
    </row>
    <row r="487" spans="1:3" x14ac:dyDescent="0.25">
      <c r="A487" s="17"/>
      <c r="B487" s="17"/>
      <c r="C487" s="17"/>
    </row>
    <row r="488" spans="1:3" x14ac:dyDescent="0.25">
      <c r="A488" s="17"/>
      <c r="B488" s="17"/>
      <c r="C488" s="17"/>
    </row>
    <row r="489" spans="1:3" x14ac:dyDescent="0.25">
      <c r="A489" s="17"/>
      <c r="B489" s="17"/>
      <c r="C489" s="17"/>
    </row>
    <row r="490" spans="1:3" x14ac:dyDescent="0.25">
      <c r="A490" s="17"/>
      <c r="B490" s="17"/>
      <c r="C490" s="17"/>
    </row>
    <row r="491" spans="1:3" x14ac:dyDescent="0.25">
      <c r="A491" s="17" t="s">
        <v>702</v>
      </c>
      <c r="B491" s="17">
        <v>332</v>
      </c>
      <c r="C491" s="17" t="s">
        <v>704</v>
      </c>
    </row>
    <row r="492" spans="1:3" x14ac:dyDescent="0.25">
      <c r="A492" s="17"/>
      <c r="B492" s="17"/>
      <c r="C492" s="17"/>
    </row>
    <row r="493" spans="1:3" x14ac:dyDescent="0.25">
      <c r="A493" s="17"/>
      <c r="B493" s="17"/>
      <c r="C493" s="17"/>
    </row>
    <row r="494" spans="1:3" x14ac:dyDescent="0.25">
      <c r="A494" s="17"/>
      <c r="B494" s="17"/>
      <c r="C494" s="17"/>
    </row>
    <row r="495" spans="1:3" x14ac:dyDescent="0.25">
      <c r="A495" s="17"/>
      <c r="B495" s="17"/>
      <c r="C495" s="17"/>
    </row>
    <row r="496" spans="1:3" x14ac:dyDescent="0.25">
      <c r="A496" s="17"/>
      <c r="B496" s="17"/>
      <c r="C496" s="17"/>
    </row>
    <row r="497" spans="1:3" x14ac:dyDescent="0.25">
      <c r="A497" s="17"/>
      <c r="B497" s="17"/>
      <c r="C497" s="17"/>
    </row>
    <row r="498" spans="1:3" x14ac:dyDescent="0.25">
      <c r="A498" s="17"/>
      <c r="B498" s="17"/>
      <c r="C498" s="17"/>
    </row>
    <row r="499" spans="1:3" x14ac:dyDescent="0.25">
      <c r="A499" s="17"/>
      <c r="B499" s="17"/>
      <c r="C499" s="17"/>
    </row>
    <row r="500" spans="1:3" x14ac:dyDescent="0.25">
      <c r="A500" s="17"/>
      <c r="B500" s="17"/>
      <c r="C500" s="17"/>
    </row>
    <row r="501" spans="1:3" x14ac:dyDescent="0.25">
      <c r="A501" s="17" t="s">
        <v>702</v>
      </c>
      <c r="B501" s="17">
        <v>333</v>
      </c>
      <c r="C501" s="17" t="s">
        <v>704</v>
      </c>
    </row>
    <row r="502" spans="1:3" x14ac:dyDescent="0.25">
      <c r="A502" s="17"/>
      <c r="B502" s="17"/>
      <c r="C502" s="17"/>
    </row>
    <row r="503" spans="1:3" x14ac:dyDescent="0.25">
      <c r="A503" s="17"/>
      <c r="B503" s="17"/>
      <c r="C503" s="17"/>
    </row>
    <row r="504" spans="1:3" x14ac:dyDescent="0.25">
      <c r="A504" s="17"/>
      <c r="B504" s="17"/>
      <c r="C504" s="17"/>
    </row>
    <row r="505" spans="1:3" x14ac:dyDescent="0.25">
      <c r="A505" s="17"/>
      <c r="B505" s="17"/>
      <c r="C505" s="17"/>
    </row>
    <row r="506" spans="1:3" x14ac:dyDescent="0.25">
      <c r="A506" s="17"/>
      <c r="B506" s="17"/>
      <c r="C506" s="17"/>
    </row>
    <row r="507" spans="1:3" x14ac:dyDescent="0.25">
      <c r="A507" s="17"/>
      <c r="B507" s="17"/>
      <c r="C507" s="17"/>
    </row>
    <row r="508" spans="1:3" x14ac:dyDescent="0.25">
      <c r="A508" s="17"/>
      <c r="B508" s="17"/>
      <c r="C508" s="17"/>
    </row>
    <row r="509" spans="1:3" x14ac:dyDescent="0.25">
      <c r="A509" s="17"/>
      <c r="B509" s="17"/>
      <c r="C509" s="17"/>
    </row>
    <row r="510" spans="1:3" x14ac:dyDescent="0.25">
      <c r="A510" s="17"/>
      <c r="B510" s="17"/>
      <c r="C510" s="17"/>
    </row>
    <row r="511" spans="1:3" x14ac:dyDescent="0.25">
      <c r="A511" s="17" t="s">
        <v>702</v>
      </c>
      <c r="B511" s="17">
        <v>334</v>
      </c>
      <c r="C511" s="17" t="s">
        <v>704</v>
      </c>
    </row>
    <row r="512" spans="1:3" x14ac:dyDescent="0.25">
      <c r="A512" s="17"/>
      <c r="B512" s="17"/>
      <c r="C512" s="17"/>
    </row>
    <row r="513" spans="1:3" x14ac:dyDescent="0.25">
      <c r="A513" s="17"/>
      <c r="B513" s="17"/>
      <c r="C513" s="17"/>
    </row>
    <row r="514" spans="1:3" x14ac:dyDescent="0.25">
      <c r="A514" s="17"/>
      <c r="B514" s="17"/>
      <c r="C514" s="17"/>
    </row>
    <row r="515" spans="1:3" x14ac:dyDescent="0.25">
      <c r="A515" s="17"/>
      <c r="B515" s="17"/>
      <c r="C515" s="17"/>
    </row>
    <row r="516" spans="1:3" x14ac:dyDescent="0.25">
      <c r="A516" s="17"/>
      <c r="B516" s="17"/>
      <c r="C516" s="17"/>
    </row>
    <row r="517" spans="1:3" x14ac:dyDescent="0.25">
      <c r="A517" s="17"/>
      <c r="B517" s="17"/>
      <c r="C517" s="17"/>
    </row>
    <row r="518" spans="1:3" x14ac:dyDescent="0.25">
      <c r="A518" s="17"/>
      <c r="B518" s="17"/>
      <c r="C518" s="17"/>
    </row>
    <row r="519" spans="1:3" x14ac:dyDescent="0.25">
      <c r="A519" s="17"/>
      <c r="B519" s="17"/>
      <c r="C519" s="17"/>
    </row>
    <row r="520" spans="1:3" x14ac:dyDescent="0.25">
      <c r="A520" s="17"/>
      <c r="B520" s="17"/>
      <c r="C520" s="17"/>
    </row>
    <row r="521" spans="1:3" x14ac:dyDescent="0.25">
      <c r="A521" s="17" t="s">
        <v>702</v>
      </c>
      <c r="B521" s="17">
        <v>335</v>
      </c>
      <c r="C521" s="17" t="s">
        <v>701</v>
      </c>
    </row>
    <row r="522" spans="1:3" x14ac:dyDescent="0.25">
      <c r="A522" s="17"/>
      <c r="B522" s="17"/>
      <c r="C522" s="17"/>
    </row>
    <row r="523" spans="1:3" x14ac:dyDescent="0.25">
      <c r="A523" s="17"/>
      <c r="B523" s="17"/>
      <c r="C523" s="17"/>
    </row>
    <row r="524" spans="1:3" x14ac:dyDescent="0.25">
      <c r="A524" s="17"/>
      <c r="B524" s="17"/>
      <c r="C524" s="17"/>
    </row>
    <row r="525" spans="1:3" x14ac:dyDescent="0.25">
      <c r="A525" s="17"/>
      <c r="B525" s="17"/>
      <c r="C525" s="17"/>
    </row>
    <row r="526" spans="1:3" x14ac:dyDescent="0.25">
      <c r="A526" s="17"/>
      <c r="B526" s="17"/>
      <c r="C526" s="17"/>
    </row>
    <row r="527" spans="1:3" x14ac:dyDescent="0.25">
      <c r="A527" s="17"/>
      <c r="B527" s="17"/>
      <c r="C527" s="17"/>
    </row>
    <row r="528" spans="1:3" x14ac:dyDescent="0.25">
      <c r="A528" s="17"/>
      <c r="B528" s="17"/>
      <c r="C528" s="17"/>
    </row>
    <row r="529" spans="1:3" x14ac:dyDescent="0.25">
      <c r="A529" s="17"/>
      <c r="B529" s="17"/>
      <c r="C529" s="17"/>
    </row>
    <row r="530" spans="1:3" x14ac:dyDescent="0.25">
      <c r="A530" s="17"/>
      <c r="B530" s="17"/>
      <c r="C530" s="17"/>
    </row>
    <row r="531" spans="1:3" x14ac:dyDescent="0.25">
      <c r="A531" s="17" t="s">
        <v>702</v>
      </c>
      <c r="B531" s="17">
        <v>336</v>
      </c>
      <c r="C531" s="17" t="s">
        <v>704</v>
      </c>
    </row>
    <row r="532" spans="1:3" x14ac:dyDescent="0.25">
      <c r="A532" s="17"/>
      <c r="B532" s="17"/>
      <c r="C532" s="17"/>
    </row>
    <row r="533" spans="1:3" x14ac:dyDescent="0.25">
      <c r="A533" s="17"/>
      <c r="B533" s="17"/>
      <c r="C533" s="17"/>
    </row>
    <row r="534" spans="1:3" x14ac:dyDescent="0.25">
      <c r="A534" s="17"/>
      <c r="B534" s="17"/>
      <c r="C534" s="17"/>
    </row>
    <row r="535" spans="1:3" x14ac:dyDescent="0.25">
      <c r="A535" s="17"/>
      <c r="B535" s="17"/>
      <c r="C535" s="17"/>
    </row>
    <row r="536" spans="1:3" x14ac:dyDescent="0.25">
      <c r="A536" s="17"/>
      <c r="B536" s="17"/>
      <c r="C536" s="17"/>
    </row>
    <row r="537" spans="1:3" x14ac:dyDescent="0.25">
      <c r="A537" s="17"/>
      <c r="B537" s="17"/>
      <c r="C537" s="17"/>
    </row>
    <row r="538" spans="1:3" x14ac:dyDescent="0.25">
      <c r="A538" s="17"/>
      <c r="B538" s="17"/>
      <c r="C538" s="17"/>
    </row>
    <row r="539" spans="1:3" x14ac:dyDescent="0.25">
      <c r="A539" s="17"/>
      <c r="B539" s="17"/>
      <c r="C539" s="17"/>
    </row>
    <row r="540" spans="1:3" x14ac:dyDescent="0.25">
      <c r="A540" s="17"/>
      <c r="B540" s="17"/>
      <c r="C540" s="17"/>
    </row>
    <row r="541" spans="1:3" x14ac:dyDescent="0.25">
      <c r="A541" s="17" t="s">
        <v>702</v>
      </c>
      <c r="B541" s="17">
        <v>337</v>
      </c>
      <c r="C541" s="17" t="s">
        <v>704</v>
      </c>
    </row>
    <row r="542" spans="1:3" x14ac:dyDescent="0.25">
      <c r="A542" s="17"/>
      <c r="B542" s="17"/>
      <c r="C542" s="17"/>
    </row>
    <row r="543" spans="1:3" x14ac:dyDescent="0.25">
      <c r="A543" s="17"/>
      <c r="B543" s="17"/>
      <c r="C543" s="17"/>
    </row>
    <row r="544" spans="1:3" x14ac:dyDescent="0.25">
      <c r="A544" s="17"/>
      <c r="B544" s="17"/>
      <c r="C544" s="17"/>
    </row>
    <row r="545" spans="1:3" x14ac:dyDescent="0.25">
      <c r="A545" s="17"/>
      <c r="B545" s="17"/>
      <c r="C545" s="17"/>
    </row>
    <row r="546" spans="1:3" x14ac:dyDescent="0.25">
      <c r="A546" s="17"/>
      <c r="B546" s="17"/>
      <c r="C546" s="17"/>
    </row>
    <row r="547" spans="1:3" x14ac:dyDescent="0.25">
      <c r="A547" s="17"/>
      <c r="B547" s="17"/>
      <c r="C547" s="17"/>
    </row>
    <row r="548" spans="1:3" x14ac:dyDescent="0.25">
      <c r="A548" s="17"/>
      <c r="B548" s="17"/>
      <c r="C548" s="17"/>
    </row>
    <row r="549" spans="1:3" x14ac:dyDescent="0.25">
      <c r="A549" s="17"/>
      <c r="B549" s="17"/>
      <c r="C549" s="17"/>
    </row>
    <row r="550" spans="1:3" x14ac:dyDescent="0.25">
      <c r="A550" s="17"/>
      <c r="B550" s="17"/>
      <c r="C550" s="17"/>
    </row>
    <row r="551" spans="1:3" x14ac:dyDescent="0.25">
      <c r="A551" s="17" t="s">
        <v>702</v>
      </c>
      <c r="B551" s="17">
        <v>338</v>
      </c>
      <c r="C551" s="17" t="s">
        <v>704</v>
      </c>
    </row>
    <row r="552" spans="1:3" x14ac:dyDescent="0.25">
      <c r="A552" s="17"/>
      <c r="B552" s="17"/>
      <c r="C552" s="17"/>
    </row>
    <row r="553" spans="1:3" x14ac:dyDescent="0.25">
      <c r="A553" s="17"/>
      <c r="B553" s="17"/>
      <c r="C553" s="17"/>
    </row>
    <row r="554" spans="1:3" x14ac:dyDescent="0.25">
      <c r="A554" s="17"/>
      <c r="B554" s="17"/>
      <c r="C554" s="17"/>
    </row>
    <row r="555" spans="1:3" x14ac:dyDescent="0.25">
      <c r="A555" s="17"/>
      <c r="B555" s="17"/>
      <c r="C555" s="17"/>
    </row>
    <row r="556" spans="1:3" x14ac:dyDescent="0.25">
      <c r="A556" s="17"/>
      <c r="B556" s="17"/>
      <c r="C556" s="17"/>
    </row>
    <row r="557" spans="1:3" x14ac:dyDescent="0.25">
      <c r="A557" s="17"/>
      <c r="B557" s="17"/>
      <c r="C557" s="17"/>
    </row>
    <row r="558" spans="1:3" x14ac:dyDescent="0.25">
      <c r="A558" s="17"/>
      <c r="B558" s="17"/>
      <c r="C558" s="17"/>
    </row>
    <row r="559" spans="1:3" x14ac:dyDescent="0.25">
      <c r="A559" s="17"/>
      <c r="B559" s="17"/>
      <c r="C559" s="17"/>
    </row>
    <row r="560" spans="1:3" x14ac:dyDescent="0.25">
      <c r="A560" s="17"/>
      <c r="B560" s="17"/>
      <c r="C560" s="17"/>
    </row>
    <row r="561" spans="1:3" x14ac:dyDescent="0.25">
      <c r="A561" s="17" t="s">
        <v>702</v>
      </c>
      <c r="B561" s="17">
        <v>339</v>
      </c>
      <c r="C561" s="17" t="s">
        <v>704</v>
      </c>
    </row>
    <row r="562" spans="1:3" x14ac:dyDescent="0.25">
      <c r="A562" s="17"/>
      <c r="B562" s="17"/>
      <c r="C562" s="17"/>
    </row>
    <row r="563" spans="1:3" x14ac:dyDescent="0.25">
      <c r="A563" s="17"/>
      <c r="B563" s="17"/>
      <c r="C563" s="17"/>
    </row>
    <row r="564" spans="1:3" x14ac:dyDescent="0.25">
      <c r="A564" s="17"/>
      <c r="B564" s="17"/>
      <c r="C564" s="17"/>
    </row>
    <row r="565" spans="1:3" x14ac:dyDescent="0.25">
      <c r="A565" s="17"/>
      <c r="B565" s="17"/>
      <c r="C565" s="17"/>
    </row>
    <row r="566" spans="1:3" x14ac:dyDescent="0.25">
      <c r="A566" s="17"/>
      <c r="B566" s="17"/>
      <c r="C566" s="17"/>
    </row>
    <row r="567" spans="1:3" x14ac:dyDescent="0.25">
      <c r="A567" s="17"/>
      <c r="B567" s="17"/>
      <c r="C567" s="17"/>
    </row>
    <row r="568" spans="1:3" x14ac:dyDescent="0.25">
      <c r="A568" s="17"/>
      <c r="B568" s="17"/>
      <c r="C568" s="17"/>
    </row>
    <row r="569" spans="1:3" x14ac:dyDescent="0.25">
      <c r="A569" s="17"/>
      <c r="B569" s="17"/>
      <c r="C569" s="17"/>
    </row>
    <row r="570" spans="1:3" x14ac:dyDescent="0.25">
      <c r="A570" s="17"/>
      <c r="B570" s="17"/>
      <c r="C570" s="17"/>
    </row>
    <row r="571" spans="1:3" x14ac:dyDescent="0.25">
      <c r="A571" s="17" t="s">
        <v>702</v>
      </c>
      <c r="B571" s="17">
        <v>340</v>
      </c>
      <c r="C571" s="17" t="s">
        <v>704</v>
      </c>
    </row>
    <row r="572" spans="1:3" x14ac:dyDescent="0.25">
      <c r="A572" s="17"/>
      <c r="B572" s="17"/>
      <c r="C572" s="17"/>
    </row>
    <row r="573" spans="1:3" x14ac:dyDescent="0.25">
      <c r="A573" s="17"/>
      <c r="B573" s="17"/>
      <c r="C573" s="17"/>
    </row>
    <row r="574" spans="1:3" x14ac:dyDescent="0.25">
      <c r="A574" s="17"/>
      <c r="B574" s="17"/>
      <c r="C574" s="17"/>
    </row>
    <row r="575" spans="1:3" x14ac:dyDescent="0.25">
      <c r="A575" s="17"/>
      <c r="B575" s="17"/>
      <c r="C575" s="17"/>
    </row>
    <row r="576" spans="1:3" x14ac:dyDescent="0.25">
      <c r="A576" s="17"/>
      <c r="B576" s="17"/>
      <c r="C576" s="17"/>
    </row>
    <row r="577" spans="1:3" x14ac:dyDescent="0.25">
      <c r="A577" s="17"/>
      <c r="B577" s="17"/>
      <c r="C577" s="17"/>
    </row>
    <row r="578" spans="1:3" x14ac:dyDescent="0.25">
      <c r="A578" s="17"/>
      <c r="B578" s="17"/>
      <c r="C578" s="17"/>
    </row>
    <row r="579" spans="1:3" x14ac:dyDescent="0.25">
      <c r="A579" s="17"/>
      <c r="B579" s="17"/>
      <c r="C579" s="17"/>
    </row>
    <row r="580" spans="1:3" x14ac:dyDescent="0.25">
      <c r="A580" s="17"/>
      <c r="B580" s="17"/>
      <c r="C580" s="17"/>
    </row>
    <row r="581" spans="1:3" x14ac:dyDescent="0.25">
      <c r="A581" s="17" t="s">
        <v>702</v>
      </c>
      <c r="B581" s="17">
        <v>342</v>
      </c>
      <c r="C581" s="17" t="s">
        <v>704</v>
      </c>
    </row>
    <row r="582" spans="1:3" x14ac:dyDescent="0.25">
      <c r="A582" s="17"/>
      <c r="B582" s="17"/>
      <c r="C582" s="17"/>
    </row>
    <row r="583" spans="1:3" x14ac:dyDescent="0.25">
      <c r="A583" s="17"/>
      <c r="B583" s="17"/>
      <c r="C583" s="17"/>
    </row>
    <row r="584" spans="1:3" x14ac:dyDescent="0.25">
      <c r="A584" s="17"/>
      <c r="B584" s="17"/>
      <c r="C584" s="17"/>
    </row>
    <row r="585" spans="1:3" x14ac:dyDescent="0.25">
      <c r="A585" s="17"/>
      <c r="B585" s="17"/>
      <c r="C585" s="17"/>
    </row>
    <row r="586" spans="1:3" x14ac:dyDescent="0.25">
      <c r="A586" s="17"/>
      <c r="B586" s="17"/>
      <c r="C586" s="17"/>
    </row>
    <row r="587" spans="1:3" x14ac:dyDescent="0.25">
      <c r="A587" s="17"/>
      <c r="B587" s="17"/>
      <c r="C587" s="17"/>
    </row>
    <row r="588" spans="1:3" x14ac:dyDescent="0.25">
      <c r="A588" s="17"/>
      <c r="B588" s="17"/>
      <c r="C588" s="17"/>
    </row>
    <row r="589" spans="1:3" x14ac:dyDescent="0.25">
      <c r="A589" s="17"/>
      <c r="B589" s="17"/>
      <c r="C589" s="17"/>
    </row>
    <row r="590" spans="1:3" x14ac:dyDescent="0.25">
      <c r="A590" s="17"/>
      <c r="B590" s="17"/>
      <c r="C590" s="17"/>
    </row>
    <row r="591" spans="1:3" x14ac:dyDescent="0.25">
      <c r="A591" s="17"/>
      <c r="B591" s="17"/>
      <c r="C591" s="17"/>
    </row>
    <row r="592" spans="1:3" x14ac:dyDescent="0.25">
      <c r="A592" s="17"/>
      <c r="B592" s="17"/>
      <c r="C592" s="17"/>
    </row>
    <row r="593" spans="1:3" x14ac:dyDescent="0.25">
      <c r="A593" s="17"/>
      <c r="B593" s="17"/>
      <c r="C593" s="17"/>
    </row>
    <row r="594" spans="1:3" x14ac:dyDescent="0.25">
      <c r="A594" s="17"/>
      <c r="B594" s="17"/>
      <c r="C594" s="17"/>
    </row>
    <row r="595" spans="1:3" x14ac:dyDescent="0.25">
      <c r="A595" s="17"/>
      <c r="B595" s="17"/>
      <c r="C595" s="17"/>
    </row>
    <row r="596" spans="1:3" x14ac:dyDescent="0.25">
      <c r="A596" s="17"/>
      <c r="B596" s="17"/>
      <c r="C596" s="17"/>
    </row>
    <row r="597" spans="1:3" x14ac:dyDescent="0.25">
      <c r="A597" s="17"/>
      <c r="B597" s="17"/>
      <c r="C597" s="17"/>
    </row>
    <row r="598" spans="1:3" x14ac:dyDescent="0.25">
      <c r="A598" s="17"/>
      <c r="B598" s="17"/>
      <c r="C598" s="17"/>
    </row>
    <row r="599" spans="1:3" x14ac:dyDescent="0.25">
      <c r="A599" s="17"/>
      <c r="B599" s="17"/>
      <c r="C599" s="17"/>
    </row>
    <row r="600" spans="1:3" x14ac:dyDescent="0.25">
      <c r="A600" s="17"/>
      <c r="B600" s="17"/>
      <c r="C600" s="17"/>
    </row>
  </sheetData>
  <mergeCells count="180">
    <mergeCell ref="A581:A590"/>
    <mergeCell ref="B581:B590"/>
    <mergeCell ref="C581:C590"/>
    <mergeCell ref="A591:A600"/>
    <mergeCell ref="B591:B600"/>
    <mergeCell ref="C591:C600"/>
    <mergeCell ref="A561:A570"/>
    <mergeCell ref="B561:B570"/>
    <mergeCell ref="C561:C570"/>
    <mergeCell ref="A571:A580"/>
    <mergeCell ref="B571:B580"/>
    <mergeCell ref="C571:C580"/>
    <mergeCell ref="A541:A550"/>
    <mergeCell ref="B541:B550"/>
    <mergeCell ref="C541:C550"/>
    <mergeCell ref="A551:A560"/>
    <mergeCell ref="B551:B560"/>
    <mergeCell ref="C551:C560"/>
    <mergeCell ref="A521:A530"/>
    <mergeCell ref="B521:B530"/>
    <mergeCell ref="C521:C530"/>
    <mergeCell ref="A531:A540"/>
    <mergeCell ref="B531:B540"/>
    <mergeCell ref="C531:C540"/>
    <mergeCell ref="A501:A510"/>
    <mergeCell ref="B501:B510"/>
    <mergeCell ref="C501:C510"/>
    <mergeCell ref="A511:A520"/>
    <mergeCell ref="B511:B520"/>
    <mergeCell ref="C511:C520"/>
    <mergeCell ref="A481:A490"/>
    <mergeCell ref="B481:B490"/>
    <mergeCell ref="C481:C490"/>
    <mergeCell ref="A491:A500"/>
    <mergeCell ref="B491:B500"/>
    <mergeCell ref="C491:C500"/>
    <mergeCell ref="A461:A470"/>
    <mergeCell ref="B461:B470"/>
    <mergeCell ref="C461:C470"/>
    <mergeCell ref="A471:A480"/>
    <mergeCell ref="B471:B480"/>
    <mergeCell ref="C471:C480"/>
    <mergeCell ref="A441:A450"/>
    <mergeCell ref="B441:B450"/>
    <mergeCell ref="C441:C450"/>
    <mergeCell ref="A451:A460"/>
    <mergeCell ref="B451:B460"/>
    <mergeCell ref="C451:C460"/>
    <mergeCell ref="A421:A430"/>
    <mergeCell ref="B421:B430"/>
    <mergeCell ref="C421:C430"/>
    <mergeCell ref="A431:A440"/>
    <mergeCell ref="B431:B440"/>
    <mergeCell ref="C431:C440"/>
    <mergeCell ref="A401:A410"/>
    <mergeCell ref="B401:B410"/>
    <mergeCell ref="C401:C410"/>
    <mergeCell ref="A411:A420"/>
    <mergeCell ref="B411:B420"/>
    <mergeCell ref="C411:C420"/>
    <mergeCell ref="A381:A390"/>
    <mergeCell ref="B381:B390"/>
    <mergeCell ref="C381:C390"/>
    <mergeCell ref="A391:A400"/>
    <mergeCell ref="B391:B400"/>
    <mergeCell ref="C391:C400"/>
    <mergeCell ref="A361:A370"/>
    <mergeCell ref="B361:B370"/>
    <mergeCell ref="C361:C370"/>
    <mergeCell ref="A371:A380"/>
    <mergeCell ref="B371:B380"/>
    <mergeCell ref="C371:C380"/>
    <mergeCell ref="A341:A350"/>
    <mergeCell ref="B341:B350"/>
    <mergeCell ref="C341:C350"/>
    <mergeCell ref="A351:A360"/>
    <mergeCell ref="B351:B360"/>
    <mergeCell ref="C351:C360"/>
    <mergeCell ref="A321:A330"/>
    <mergeCell ref="B321:B330"/>
    <mergeCell ref="C321:C330"/>
    <mergeCell ref="A331:A340"/>
    <mergeCell ref="B331:B340"/>
    <mergeCell ref="C331:C340"/>
    <mergeCell ref="A301:A310"/>
    <mergeCell ref="B301:B310"/>
    <mergeCell ref="C301:C310"/>
    <mergeCell ref="A311:A320"/>
    <mergeCell ref="B311:B320"/>
    <mergeCell ref="C311:C320"/>
    <mergeCell ref="A281:A290"/>
    <mergeCell ref="B281:B290"/>
    <mergeCell ref="C281:C290"/>
    <mergeCell ref="A291:A300"/>
    <mergeCell ref="B291:B300"/>
    <mergeCell ref="C291:C300"/>
    <mergeCell ref="A261:A270"/>
    <mergeCell ref="B261:B270"/>
    <mergeCell ref="C261:C270"/>
    <mergeCell ref="A271:A280"/>
    <mergeCell ref="B271:B280"/>
    <mergeCell ref="C271:C280"/>
    <mergeCell ref="A241:A250"/>
    <mergeCell ref="B241:B250"/>
    <mergeCell ref="C241:C250"/>
    <mergeCell ref="A251:A260"/>
    <mergeCell ref="B251:B260"/>
    <mergeCell ref="C251:C260"/>
    <mergeCell ref="A221:A230"/>
    <mergeCell ref="B221:B230"/>
    <mergeCell ref="C221:C230"/>
    <mergeCell ref="A231:A240"/>
    <mergeCell ref="B231:B240"/>
    <mergeCell ref="C231:C240"/>
    <mergeCell ref="A201:A210"/>
    <mergeCell ref="B201:B210"/>
    <mergeCell ref="C201:C210"/>
    <mergeCell ref="A211:A220"/>
    <mergeCell ref="B211:B220"/>
    <mergeCell ref="C211:C220"/>
    <mergeCell ref="A181:A190"/>
    <mergeCell ref="B181:B190"/>
    <mergeCell ref="C181:C190"/>
    <mergeCell ref="A191:A200"/>
    <mergeCell ref="B191:B200"/>
    <mergeCell ref="C191:C200"/>
    <mergeCell ref="A161:A170"/>
    <mergeCell ref="B161:B170"/>
    <mergeCell ref="C161:C170"/>
    <mergeCell ref="A171:A180"/>
    <mergeCell ref="B171:B180"/>
    <mergeCell ref="C171:C180"/>
    <mergeCell ref="A141:A150"/>
    <mergeCell ref="B141:B150"/>
    <mergeCell ref="C141:C150"/>
    <mergeCell ref="A151:A160"/>
    <mergeCell ref="B151:B160"/>
    <mergeCell ref="C151:C160"/>
    <mergeCell ref="A121:A130"/>
    <mergeCell ref="B121:B130"/>
    <mergeCell ref="C121:C130"/>
    <mergeCell ref="A131:A140"/>
    <mergeCell ref="B131:B140"/>
    <mergeCell ref="C131:C140"/>
    <mergeCell ref="A101:A110"/>
    <mergeCell ref="B101:B110"/>
    <mergeCell ref="C101:C110"/>
    <mergeCell ref="A111:A120"/>
    <mergeCell ref="B111:B120"/>
    <mergeCell ref="C111:C120"/>
    <mergeCell ref="A81:A90"/>
    <mergeCell ref="B81:B90"/>
    <mergeCell ref="C81:C90"/>
    <mergeCell ref="A91:A100"/>
    <mergeCell ref="B91:B100"/>
    <mergeCell ref="C91:C100"/>
    <mergeCell ref="A61:A70"/>
    <mergeCell ref="B61:B70"/>
    <mergeCell ref="C61:C70"/>
    <mergeCell ref="A71:A80"/>
    <mergeCell ref="B71:B80"/>
    <mergeCell ref="C71:C80"/>
    <mergeCell ref="A41:A50"/>
    <mergeCell ref="B41:B50"/>
    <mergeCell ref="C41:C50"/>
    <mergeCell ref="A51:A60"/>
    <mergeCell ref="B51:B60"/>
    <mergeCell ref="C51:C60"/>
    <mergeCell ref="A21:A30"/>
    <mergeCell ref="B21:B30"/>
    <mergeCell ref="C21:C30"/>
    <mergeCell ref="A31:A40"/>
    <mergeCell ref="B31:B40"/>
    <mergeCell ref="C31:C40"/>
    <mergeCell ref="A1:A10"/>
    <mergeCell ref="B1:B10"/>
    <mergeCell ref="C1:C10"/>
    <mergeCell ref="A11:A20"/>
    <mergeCell ref="B11:B20"/>
    <mergeCell ref="C11:C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89"/>
  <sheetViews>
    <sheetView topLeftCell="A176" workbookViewId="0">
      <selection activeCell="A209" sqref="A209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8.28515625" bestFit="1" customWidth="1"/>
    <col min="8" max="8" width="26.28515625" bestFit="1" customWidth="1"/>
    <col min="9" max="9" width="13.28515625" bestFit="1" customWidth="1"/>
  </cols>
  <sheetData>
    <row r="1" spans="1:12" s="13" customFormat="1" x14ac:dyDescent="0.25">
      <c r="A1" s="10" t="s">
        <v>727</v>
      </c>
      <c r="B1" s="9" t="s">
        <v>725</v>
      </c>
      <c r="C1" s="3"/>
    </row>
    <row r="2" spans="1:12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G2" s="11"/>
    </row>
    <row r="3" spans="1:12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Manifold_Manifold_Module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Others (Combined)</v>
      </c>
      <c r="C3" s="2" t="str">
        <f ca="1">MID(CELL("filename",A1),FIND("]",CELL("filename",A1))+1,255)</f>
        <v>M1</v>
      </c>
      <c r="D3" s="2" t="s">
        <v>279</v>
      </c>
      <c r="G3" s="11"/>
      <c r="H3" s="6"/>
      <c r="I3" s="6"/>
      <c r="J3" s="6"/>
      <c r="K3" s="6"/>
      <c r="L3" s="6"/>
    </row>
    <row r="4" spans="1:12" x14ac:dyDescent="0.25">
      <c r="D4" s="2" t="s">
        <v>71</v>
      </c>
      <c r="E4" s="1" t="s">
        <v>274</v>
      </c>
      <c r="G4" s="6"/>
      <c r="H4" s="6"/>
      <c r="I4" s="7"/>
      <c r="J4" s="7"/>
    </row>
    <row r="5" spans="1:12" x14ac:dyDescent="0.25">
      <c r="D5" s="2" t="s">
        <v>71</v>
      </c>
      <c r="E5" s="1" t="s">
        <v>273</v>
      </c>
      <c r="H5" s="6"/>
    </row>
    <row r="6" spans="1:12" x14ac:dyDescent="0.25">
      <c r="D6" s="2" t="s">
        <v>71</v>
      </c>
      <c r="E6" s="1" t="s">
        <v>272</v>
      </c>
    </row>
    <row r="7" spans="1:12" x14ac:dyDescent="0.25">
      <c r="D7" s="2" t="s">
        <v>71</v>
      </c>
      <c r="E7" s="1" t="s">
        <v>271</v>
      </c>
    </row>
    <row r="8" spans="1:12" x14ac:dyDescent="0.25">
      <c r="D8" s="2" t="s">
        <v>2</v>
      </c>
      <c r="E8" s="1" t="s">
        <v>267</v>
      </c>
    </row>
    <row r="9" spans="1:12" x14ac:dyDescent="0.25">
      <c r="D9" s="2" t="s">
        <v>2</v>
      </c>
      <c r="E9" s="1" t="s">
        <v>266</v>
      </c>
    </row>
    <row r="10" spans="1:12" x14ac:dyDescent="0.25">
      <c r="D10" s="2" t="s">
        <v>2</v>
      </c>
      <c r="E10" s="1" t="s">
        <v>265</v>
      </c>
    </row>
    <row r="11" spans="1:12" x14ac:dyDescent="0.25">
      <c r="D11" s="2" t="s">
        <v>2</v>
      </c>
      <c r="E11" s="1" t="s">
        <v>263</v>
      </c>
    </row>
    <row r="12" spans="1:12" x14ac:dyDescent="0.25">
      <c r="D12" s="2" t="s">
        <v>71</v>
      </c>
      <c r="E12" s="1" t="s">
        <v>261</v>
      </c>
    </row>
    <row r="13" spans="1:12" x14ac:dyDescent="0.25">
      <c r="D13" s="2" t="s">
        <v>71</v>
      </c>
      <c r="E13" s="1" t="s">
        <v>259</v>
      </c>
    </row>
    <row r="14" spans="1:12" x14ac:dyDescent="0.25">
      <c r="D14" s="2" t="s">
        <v>71</v>
      </c>
      <c r="E14" s="1" t="s">
        <v>257</v>
      </c>
    </row>
    <row r="15" spans="1:12" x14ac:dyDescent="0.25">
      <c r="D15" s="2" t="s">
        <v>71</v>
      </c>
      <c r="E15" s="1" t="s">
        <v>256</v>
      </c>
    </row>
    <row r="16" spans="1:12" x14ac:dyDescent="0.25">
      <c r="D16" s="2" t="s">
        <v>2</v>
      </c>
      <c r="E16" s="1" t="s">
        <v>278</v>
      </c>
    </row>
    <row r="17" spans="1:10" x14ac:dyDescent="0.25">
      <c r="A17"/>
      <c r="B17"/>
      <c r="C17"/>
      <c r="D17" s="2" t="s">
        <v>2</v>
      </c>
      <c r="E17" s="1" t="s">
        <v>277</v>
      </c>
    </row>
    <row r="18" spans="1:10" x14ac:dyDescent="0.25">
      <c r="A18"/>
      <c r="B18"/>
      <c r="C18"/>
      <c r="D18" s="2" t="s">
        <v>2</v>
      </c>
      <c r="E18" s="1" t="s">
        <v>276</v>
      </c>
    </row>
    <row r="19" spans="1:10" x14ac:dyDescent="0.25">
      <c r="A19"/>
      <c r="B19"/>
      <c r="C19"/>
      <c r="D19" s="2" t="s">
        <v>2</v>
      </c>
      <c r="E19" s="1" t="s">
        <v>275</v>
      </c>
      <c r="G19" s="6"/>
      <c r="H19" s="6"/>
      <c r="I19" s="7"/>
      <c r="J19" s="7"/>
    </row>
    <row r="20" spans="1:10" x14ac:dyDescent="0.25">
      <c r="A20"/>
      <c r="B20"/>
      <c r="C20"/>
      <c r="D20" s="2" t="s">
        <v>71</v>
      </c>
      <c r="E20" s="1" t="s">
        <v>248</v>
      </c>
      <c r="H20" s="6"/>
    </row>
    <row r="21" spans="1:10" x14ac:dyDescent="0.25">
      <c r="A21"/>
      <c r="B21"/>
      <c r="C21"/>
      <c r="D21" s="2" t="s">
        <v>71</v>
      </c>
      <c r="E21" s="1" t="s">
        <v>247</v>
      </c>
    </row>
    <row r="22" spans="1:10" x14ac:dyDescent="0.25">
      <c r="A22"/>
      <c r="B22"/>
      <c r="C22"/>
      <c r="D22" s="2" t="s">
        <v>71</v>
      </c>
      <c r="E22" s="1" t="s">
        <v>246</v>
      </c>
    </row>
    <row r="23" spans="1:10" x14ac:dyDescent="0.25">
      <c r="A23"/>
      <c r="B23"/>
      <c r="C23"/>
      <c r="D23" s="2" t="s">
        <v>71</v>
      </c>
      <c r="E23" s="1" t="s">
        <v>245</v>
      </c>
    </row>
    <row r="24" spans="1:10" x14ac:dyDescent="0.25">
      <c r="A24"/>
      <c r="B24"/>
      <c r="C24"/>
      <c r="D24" s="2" t="s">
        <v>2</v>
      </c>
      <c r="E24" s="1" t="s">
        <v>252</v>
      </c>
    </row>
    <row r="25" spans="1:10" x14ac:dyDescent="0.25">
      <c r="A25"/>
      <c r="B25"/>
      <c r="C25"/>
      <c r="D25" s="2" t="s">
        <v>2</v>
      </c>
      <c r="E25" s="1" t="s">
        <v>251</v>
      </c>
    </row>
    <row r="26" spans="1:10" x14ac:dyDescent="0.25">
      <c r="A26"/>
      <c r="B26"/>
      <c r="C26"/>
      <c r="D26" s="2" t="s">
        <v>2</v>
      </c>
      <c r="E26" s="1" t="s">
        <v>250</v>
      </c>
    </row>
    <row r="27" spans="1:10" x14ac:dyDescent="0.25">
      <c r="A27"/>
      <c r="B27"/>
      <c r="C27"/>
      <c r="D27" s="2" t="s">
        <v>2</v>
      </c>
      <c r="E27" s="1" t="s">
        <v>249</v>
      </c>
    </row>
    <row r="28" spans="1:10" x14ac:dyDescent="0.25">
      <c r="A28"/>
      <c r="B28"/>
      <c r="C28"/>
      <c r="D28" s="2" t="s">
        <v>2</v>
      </c>
      <c r="E28" s="1" t="s">
        <v>303</v>
      </c>
    </row>
    <row r="29" spans="1:10" x14ac:dyDescent="0.25">
      <c r="A29"/>
      <c r="B29"/>
      <c r="C29"/>
      <c r="D29" s="2" t="s">
        <v>2</v>
      </c>
      <c r="E29" s="1" t="s">
        <v>304</v>
      </c>
    </row>
    <row r="30" spans="1:10" x14ac:dyDescent="0.25">
      <c r="A30"/>
      <c r="B30"/>
      <c r="C30"/>
      <c r="D30" s="2" t="s">
        <v>2</v>
      </c>
      <c r="E30" s="1" t="s">
        <v>305</v>
      </c>
    </row>
    <row r="31" spans="1:10" x14ac:dyDescent="0.25">
      <c r="A31"/>
      <c r="B31"/>
      <c r="C31"/>
      <c r="D31" s="2" t="s">
        <v>2</v>
      </c>
      <c r="E31" s="1" t="s">
        <v>306</v>
      </c>
    </row>
    <row r="32" spans="1:10" x14ac:dyDescent="0.25">
      <c r="A32"/>
      <c r="B32"/>
      <c r="C32"/>
      <c r="D32" s="2" t="s">
        <v>71</v>
      </c>
      <c r="E32" s="1" t="s">
        <v>243</v>
      </c>
    </row>
    <row r="33" spans="1:5" x14ac:dyDescent="0.25">
      <c r="A33"/>
      <c r="B33"/>
      <c r="C33"/>
      <c r="D33" s="2" t="s">
        <v>71</v>
      </c>
      <c r="E33" s="1" t="s">
        <v>242</v>
      </c>
    </row>
    <row r="34" spans="1:5" x14ac:dyDescent="0.25">
      <c r="A34"/>
      <c r="B34"/>
      <c r="C34"/>
      <c r="D34" s="2" t="s">
        <v>71</v>
      </c>
      <c r="E34" s="1" t="s">
        <v>241</v>
      </c>
    </row>
    <row r="35" spans="1:5" x14ac:dyDescent="0.25">
      <c r="A35"/>
      <c r="B35"/>
      <c r="C35"/>
      <c r="D35" s="2" t="s">
        <v>71</v>
      </c>
      <c r="E35" s="1" t="s">
        <v>240</v>
      </c>
    </row>
    <row r="36" spans="1:5" x14ac:dyDescent="0.25">
      <c r="A36"/>
      <c r="B36"/>
      <c r="C36"/>
      <c r="D36" s="2" t="s">
        <v>2</v>
      </c>
      <c r="E36" s="1" t="s">
        <v>239</v>
      </c>
    </row>
    <row r="37" spans="1:5" x14ac:dyDescent="0.25">
      <c r="A37"/>
      <c r="B37"/>
      <c r="C37"/>
      <c r="D37" s="2" t="s">
        <v>2</v>
      </c>
      <c r="E37" s="1" t="s">
        <v>238</v>
      </c>
    </row>
    <row r="38" spans="1:5" x14ac:dyDescent="0.25">
      <c r="A38"/>
      <c r="B38"/>
      <c r="C38"/>
      <c r="D38" s="2" t="s">
        <v>2</v>
      </c>
      <c r="E38" s="1" t="s">
        <v>237</v>
      </c>
    </row>
    <row r="39" spans="1:5" x14ac:dyDescent="0.25">
      <c r="A39"/>
      <c r="B39"/>
      <c r="C39"/>
      <c r="D39" s="2" t="s">
        <v>2</v>
      </c>
      <c r="E39" s="1" t="s">
        <v>236</v>
      </c>
    </row>
    <row r="40" spans="1:5" x14ac:dyDescent="0.25">
      <c r="A40"/>
      <c r="B40"/>
      <c r="C40"/>
      <c r="D40" s="2" t="s">
        <v>71</v>
      </c>
      <c r="E40" s="1" t="s">
        <v>235</v>
      </c>
    </row>
    <row r="41" spans="1:5" x14ac:dyDescent="0.25">
      <c r="A41"/>
      <c r="B41"/>
      <c r="C41"/>
      <c r="D41" s="2" t="s">
        <v>71</v>
      </c>
      <c r="E41" s="1" t="s">
        <v>234</v>
      </c>
    </row>
    <row r="42" spans="1:5" x14ac:dyDescent="0.25">
      <c r="A42"/>
      <c r="B42"/>
      <c r="C42"/>
      <c r="D42" s="2" t="s">
        <v>71</v>
      </c>
      <c r="E42" s="1" t="s">
        <v>233</v>
      </c>
    </row>
    <row r="43" spans="1:5" x14ac:dyDescent="0.25">
      <c r="A43"/>
      <c r="B43"/>
      <c r="C43"/>
      <c r="D43" s="2" t="s">
        <v>71</v>
      </c>
      <c r="E43" s="1" t="s">
        <v>232</v>
      </c>
    </row>
    <row r="44" spans="1:5" x14ac:dyDescent="0.25">
      <c r="A44"/>
      <c r="B44"/>
      <c r="C44"/>
      <c r="D44" s="2" t="s">
        <v>2</v>
      </c>
      <c r="E44" s="1" t="s">
        <v>231</v>
      </c>
    </row>
    <row r="45" spans="1:5" x14ac:dyDescent="0.25">
      <c r="A45"/>
      <c r="B45"/>
      <c r="C45"/>
      <c r="D45" s="2" t="s">
        <v>2</v>
      </c>
      <c r="E45" s="1" t="s">
        <v>230</v>
      </c>
    </row>
    <row r="46" spans="1:5" x14ac:dyDescent="0.25">
      <c r="A46"/>
      <c r="B46"/>
      <c r="C46"/>
      <c r="D46" s="2" t="s">
        <v>2</v>
      </c>
      <c r="E46" s="1" t="s">
        <v>229</v>
      </c>
    </row>
    <row r="47" spans="1:5" x14ac:dyDescent="0.25">
      <c r="A47"/>
      <c r="B47"/>
      <c r="C47"/>
      <c r="D47" s="2" t="s">
        <v>2</v>
      </c>
      <c r="E47" s="1" t="s">
        <v>228</v>
      </c>
    </row>
    <row r="48" spans="1:5" x14ac:dyDescent="0.25">
      <c r="A48"/>
      <c r="B48"/>
      <c r="C48"/>
      <c r="D48" s="2" t="s">
        <v>71</v>
      </c>
      <c r="E48" s="1" t="s">
        <v>227</v>
      </c>
    </row>
    <row r="49" spans="1:5" x14ac:dyDescent="0.25">
      <c r="A49"/>
      <c r="B49"/>
      <c r="C49"/>
      <c r="D49" s="2" t="s">
        <v>71</v>
      </c>
      <c r="E49" s="1" t="s">
        <v>226</v>
      </c>
    </row>
    <row r="50" spans="1:5" x14ac:dyDescent="0.25">
      <c r="A50"/>
      <c r="B50"/>
      <c r="C50"/>
      <c r="D50" s="2" t="s">
        <v>71</v>
      </c>
      <c r="E50" s="1" t="s">
        <v>225</v>
      </c>
    </row>
    <row r="51" spans="1:5" x14ac:dyDescent="0.25">
      <c r="A51"/>
      <c r="B51"/>
      <c r="C51"/>
      <c r="D51" s="2" t="s">
        <v>71</v>
      </c>
      <c r="E51" s="1" t="s">
        <v>224</v>
      </c>
    </row>
    <row r="52" spans="1:5" x14ac:dyDescent="0.25">
      <c r="A52"/>
      <c r="B52"/>
      <c r="C52"/>
      <c r="D52" s="2" t="s">
        <v>2</v>
      </c>
      <c r="E52" s="1" t="s">
        <v>223</v>
      </c>
    </row>
    <row r="53" spans="1:5" x14ac:dyDescent="0.25">
      <c r="A53"/>
      <c r="B53"/>
      <c r="C53"/>
      <c r="D53" s="2" t="s">
        <v>2</v>
      </c>
      <c r="E53" s="1" t="s">
        <v>222</v>
      </c>
    </row>
    <row r="54" spans="1:5" x14ac:dyDescent="0.25">
      <c r="A54"/>
      <c r="B54"/>
      <c r="C54"/>
      <c r="D54" s="2" t="s">
        <v>2</v>
      </c>
      <c r="E54" s="1" t="s">
        <v>221</v>
      </c>
    </row>
    <row r="55" spans="1:5" x14ac:dyDescent="0.25">
      <c r="A55"/>
      <c r="B55"/>
      <c r="C55"/>
      <c r="D55" s="2" t="s">
        <v>2</v>
      </c>
      <c r="E55" s="1" t="s">
        <v>220</v>
      </c>
    </row>
    <row r="56" spans="1:5" x14ac:dyDescent="0.25">
      <c r="A56"/>
      <c r="B56"/>
      <c r="C56"/>
      <c r="D56" s="2" t="s">
        <v>71</v>
      </c>
      <c r="E56" s="1" t="s">
        <v>219</v>
      </c>
    </row>
    <row r="57" spans="1:5" x14ac:dyDescent="0.25">
      <c r="A57"/>
      <c r="B57"/>
      <c r="C57"/>
      <c r="D57" s="2" t="s">
        <v>71</v>
      </c>
      <c r="E57" s="1" t="s">
        <v>218</v>
      </c>
    </row>
    <row r="58" spans="1:5" x14ac:dyDescent="0.25">
      <c r="A58"/>
      <c r="B58"/>
      <c r="C58"/>
      <c r="D58" s="2" t="s">
        <v>71</v>
      </c>
      <c r="E58" s="1" t="s">
        <v>217</v>
      </c>
    </row>
    <row r="59" spans="1:5" x14ac:dyDescent="0.25">
      <c r="A59"/>
      <c r="B59"/>
      <c r="C59"/>
      <c r="D59" s="2" t="s">
        <v>71</v>
      </c>
      <c r="E59" s="1" t="s">
        <v>216</v>
      </c>
    </row>
    <row r="60" spans="1:5" x14ac:dyDescent="0.25">
      <c r="A60"/>
      <c r="B60"/>
      <c r="C60"/>
      <c r="D60" s="2" t="s">
        <v>2</v>
      </c>
      <c r="E60" s="1" t="s">
        <v>55</v>
      </c>
    </row>
    <row r="61" spans="1:5" x14ac:dyDescent="0.25">
      <c r="A61"/>
      <c r="B61"/>
      <c r="C61"/>
      <c r="D61" s="2" t="s">
        <v>2</v>
      </c>
      <c r="E61" s="1" t="s">
        <v>60</v>
      </c>
    </row>
    <row r="62" spans="1:5" x14ac:dyDescent="0.25">
      <c r="A62"/>
      <c r="B62"/>
      <c r="C62"/>
      <c r="D62" s="2" t="s">
        <v>2</v>
      </c>
      <c r="E62" s="1" t="s">
        <v>57</v>
      </c>
    </row>
    <row r="63" spans="1:5" x14ac:dyDescent="0.25">
      <c r="A63"/>
      <c r="B63"/>
      <c r="C63"/>
      <c r="D63" s="2" t="s">
        <v>2</v>
      </c>
      <c r="E63" s="1" t="s">
        <v>58</v>
      </c>
    </row>
    <row r="64" spans="1:5" x14ac:dyDescent="0.25">
      <c r="A64"/>
      <c r="B64"/>
      <c r="C64"/>
      <c r="D64" s="2" t="s">
        <v>71</v>
      </c>
      <c r="E64" s="1" t="s">
        <v>215</v>
      </c>
    </row>
    <row r="65" spans="1:5" x14ac:dyDescent="0.25">
      <c r="A65"/>
      <c r="B65"/>
      <c r="C65"/>
      <c r="D65" s="2" t="s">
        <v>71</v>
      </c>
      <c r="E65" s="1" t="s">
        <v>214</v>
      </c>
    </row>
    <row r="66" spans="1:5" x14ac:dyDescent="0.25">
      <c r="A66"/>
      <c r="B66"/>
      <c r="C66"/>
      <c r="D66" s="2" t="s">
        <v>71</v>
      </c>
      <c r="E66" s="1" t="s">
        <v>213</v>
      </c>
    </row>
    <row r="67" spans="1:5" x14ac:dyDescent="0.25">
      <c r="A67"/>
      <c r="B67"/>
      <c r="C67"/>
      <c r="D67" s="2" t="s">
        <v>71</v>
      </c>
      <c r="E67" s="1" t="s">
        <v>212</v>
      </c>
    </row>
    <row r="68" spans="1:5" x14ac:dyDescent="0.25">
      <c r="A68"/>
      <c r="B68"/>
      <c r="C68"/>
      <c r="D68" s="2" t="s">
        <v>2</v>
      </c>
      <c r="E68" s="1" t="s">
        <v>211</v>
      </c>
    </row>
    <row r="69" spans="1:5" x14ac:dyDescent="0.25">
      <c r="A69"/>
      <c r="B69"/>
      <c r="C69"/>
      <c r="D69" s="2" t="s">
        <v>2</v>
      </c>
      <c r="E69" s="1" t="s">
        <v>210</v>
      </c>
    </row>
    <row r="70" spans="1:5" x14ac:dyDescent="0.25">
      <c r="A70"/>
      <c r="B70"/>
      <c r="C70"/>
      <c r="D70" s="2" t="s">
        <v>2</v>
      </c>
      <c r="E70" s="1" t="s">
        <v>209</v>
      </c>
    </row>
    <row r="71" spans="1:5" x14ac:dyDescent="0.25">
      <c r="A71"/>
      <c r="B71"/>
      <c r="C71"/>
      <c r="D71" s="2" t="s">
        <v>2</v>
      </c>
      <c r="E71" s="1" t="s">
        <v>208</v>
      </c>
    </row>
    <row r="72" spans="1:5" x14ac:dyDescent="0.25">
      <c r="A72"/>
      <c r="B72"/>
      <c r="C72"/>
      <c r="D72" s="2" t="s">
        <v>2</v>
      </c>
      <c r="E72" s="1" t="s">
        <v>207</v>
      </c>
    </row>
    <row r="73" spans="1:5" x14ac:dyDescent="0.25">
      <c r="A73"/>
      <c r="B73"/>
      <c r="C73"/>
      <c r="D73" s="2" t="s">
        <v>2</v>
      </c>
      <c r="E73" s="1" t="s">
        <v>206</v>
      </c>
    </row>
    <row r="74" spans="1:5" x14ac:dyDescent="0.25">
      <c r="A74"/>
      <c r="B74"/>
      <c r="C74"/>
      <c r="D74" s="2" t="s">
        <v>2</v>
      </c>
      <c r="E74" s="1" t="s">
        <v>205</v>
      </c>
    </row>
    <row r="75" spans="1:5" x14ac:dyDescent="0.25">
      <c r="A75"/>
      <c r="B75"/>
      <c r="C75"/>
      <c r="D75" s="2" t="s">
        <v>2</v>
      </c>
      <c r="E75" s="1" t="s">
        <v>204</v>
      </c>
    </row>
    <row r="76" spans="1:5" x14ac:dyDescent="0.25">
      <c r="A76"/>
      <c r="B76"/>
      <c r="C76"/>
      <c r="D76" s="2" t="s">
        <v>2</v>
      </c>
      <c r="E76" s="1" t="s">
        <v>203</v>
      </c>
    </row>
    <row r="77" spans="1:5" x14ac:dyDescent="0.25">
      <c r="A77"/>
      <c r="B77"/>
      <c r="C77"/>
      <c r="D77" s="2" t="s">
        <v>2</v>
      </c>
      <c r="E77" s="1" t="s">
        <v>307</v>
      </c>
    </row>
    <row r="78" spans="1:5" x14ac:dyDescent="0.25">
      <c r="A78"/>
      <c r="B78"/>
      <c r="C78"/>
      <c r="D78" s="2" t="s">
        <v>71</v>
      </c>
      <c r="E78" s="1" t="s">
        <v>202</v>
      </c>
    </row>
    <row r="79" spans="1:5" x14ac:dyDescent="0.25">
      <c r="A79"/>
      <c r="B79"/>
      <c r="C79"/>
      <c r="D79" s="2" t="s">
        <v>71</v>
      </c>
      <c r="E79" s="1" t="s">
        <v>201</v>
      </c>
    </row>
    <row r="80" spans="1:5" x14ac:dyDescent="0.25">
      <c r="A80"/>
      <c r="B80"/>
      <c r="C80"/>
      <c r="D80" s="2" t="s">
        <v>71</v>
      </c>
      <c r="E80" s="1" t="s">
        <v>200</v>
      </c>
    </row>
    <row r="81" spans="1:5" x14ac:dyDescent="0.25">
      <c r="A81"/>
      <c r="B81"/>
      <c r="C81"/>
      <c r="D81" s="2" t="s">
        <v>71</v>
      </c>
      <c r="E81" s="1" t="s">
        <v>199</v>
      </c>
    </row>
    <row r="82" spans="1:5" x14ac:dyDescent="0.25">
      <c r="A82"/>
      <c r="B82"/>
      <c r="C82"/>
      <c r="D82" s="2" t="s">
        <v>71</v>
      </c>
      <c r="E82" s="1" t="s">
        <v>198</v>
      </c>
    </row>
    <row r="83" spans="1:5" x14ac:dyDescent="0.25">
      <c r="A83"/>
      <c r="B83"/>
      <c r="C83"/>
      <c r="D83" s="2" t="s">
        <v>71</v>
      </c>
      <c r="E83" s="1" t="s">
        <v>197</v>
      </c>
    </row>
    <row r="84" spans="1:5" x14ac:dyDescent="0.25">
      <c r="A84"/>
      <c r="B84"/>
      <c r="C84"/>
      <c r="D84" s="2" t="s">
        <v>71</v>
      </c>
      <c r="E84" s="1" t="s">
        <v>196</v>
      </c>
    </row>
    <row r="85" spans="1:5" x14ac:dyDescent="0.25">
      <c r="A85"/>
      <c r="B85"/>
      <c r="C85"/>
      <c r="D85" s="2" t="s">
        <v>71</v>
      </c>
      <c r="E85" s="1" t="s">
        <v>195</v>
      </c>
    </row>
    <row r="86" spans="1:5" x14ac:dyDescent="0.25">
      <c r="A86"/>
      <c r="B86"/>
      <c r="C86"/>
      <c r="D86" s="2" t="s">
        <v>71</v>
      </c>
      <c r="E86" s="1" t="s">
        <v>194</v>
      </c>
    </row>
    <row r="87" spans="1:5" x14ac:dyDescent="0.25">
      <c r="A87"/>
      <c r="B87"/>
      <c r="C87"/>
      <c r="D87" s="2" t="s">
        <v>71</v>
      </c>
      <c r="E87" s="1" t="s">
        <v>193</v>
      </c>
    </row>
    <row r="88" spans="1:5" x14ac:dyDescent="0.25">
      <c r="A88"/>
      <c r="B88"/>
      <c r="C88"/>
      <c r="D88" s="2" t="s">
        <v>71</v>
      </c>
      <c r="E88" s="1" t="s">
        <v>192</v>
      </c>
    </row>
    <row r="89" spans="1:5" x14ac:dyDescent="0.25">
      <c r="A89"/>
      <c r="B89"/>
      <c r="C89"/>
      <c r="D89" s="2" t="s">
        <v>71</v>
      </c>
      <c r="E89" s="1" t="s">
        <v>191</v>
      </c>
    </row>
    <row r="90" spans="1:5" x14ac:dyDescent="0.25">
      <c r="A90"/>
      <c r="B90"/>
      <c r="C90"/>
      <c r="D90" s="2" t="s">
        <v>71</v>
      </c>
      <c r="E90" s="1" t="s">
        <v>190</v>
      </c>
    </row>
    <row r="91" spans="1:5" x14ac:dyDescent="0.25">
      <c r="A91"/>
      <c r="B91"/>
      <c r="C91"/>
      <c r="D91" s="2" t="s">
        <v>71</v>
      </c>
      <c r="E91" s="1" t="s">
        <v>189</v>
      </c>
    </row>
    <row r="92" spans="1:5" x14ac:dyDescent="0.25">
      <c r="A92"/>
      <c r="B92"/>
      <c r="C92"/>
      <c r="D92" s="2" t="s">
        <v>1</v>
      </c>
      <c r="E92" s="1" t="s">
        <v>184</v>
      </c>
    </row>
    <row r="93" spans="1:5" x14ac:dyDescent="0.25">
      <c r="A93"/>
      <c r="B93"/>
      <c r="C93"/>
      <c r="D93" s="2" t="s">
        <v>1</v>
      </c>
      <c r="E93" s="1" t="s">
        <v>182</v>
      </c>
    </row>
    <row r="94" spans="1:5" x14ac:dyDescent="0.25">
      <c r="A94"/>
      <c r="B94"/>
      <c r="C94"/>
      <c r="D94" s="2" t="s">
        <v>1</v>
      </c>
      <c r="E94" s="1" t="s">
        <v>181</v>
      </c>
    </row>
    <row r="95" spans="1:5" x14ac:dyDescent="0.25">
      <c r="A95"/>
      <c r="B95"/>
      <c r="C95"/>
      <c r="D95" s="2" t="s">
        <v>1</v>
      </c>
      <c r="E95" s="1" t="s">
        <v>180</v>
      </c>
    </row>
    <row r="96" spans="1:5" x14ac:dyDescent="0.25">
      <c r="A96"/>
      <c r="B96"/>
      <c r="C96"/>
      <c r="D96" s="2" t="s">
        <v>100</v>
      </c>
      <c r="E96" s="1" t="s">
        <v>113</v>
      </c>
    </row>
    <row r="97" spans="1:5" x14ac:dyDescent="0.25">
      <c r="A97"/>
      <c r="B97"/>
      <c r="C97"/>
      <c r="D97" s="2" t="s">
        <v>100</v>
      </c>
      <c r="E97" s="1" t="s">
        <v>112</v>
      </c>
    </row>
    <row r="98" spans="1:5" x14ac:dyDescent="0.25">
      <c r="A98"/>
      <c r="B98"/>
      <c r="C98"/>
      <c r="D98" s="2" t="s">
        <v>1</v>
      </c>
      <c r="E98" s="1" t="s">
        <v>179</v>
      </c>
    </row>
    <row r="99" spans="1:5" x14ac:dyDescent="0.25">
      <c r="A99"/>
      <c r="B99"/>
      <c r="C99"/>
      <c r="D99" s="2" t="s">
        <v>1</v>
      </c>
      <c r="E99" s="1" t="s">
        <v>178</v>
      </c>
    </row>
    <row r="100" spans="1:5" x14ac:dyDescent="0.25">
      <c r="A100"/>
      <c r="B100"/>
      <c r="C100"/>
      <c r="D100" s="2" t="s">
        <v>1</v>
      </c>
      <c r="E100" s="1" t="s">
        <v>177</v>
      </c>
    </row>
    <row r="101" spans="1:5" x14ac:dyDescent="0.25">
      <c r="A101"/>
      <c r="B101"/>
      <c r="C101"/>
      <c r="D101" s="2" t="s">
        <v>1</v>
      </c>
      <c r="E101" s="1" t="s">
        <v>176</v>
      </c>
    </row>
    <row r="102" spans="1:5" x14ac:dyDescent="0.25">
      <c r="A102"/>
      <c r="B102"/>
      <c r="C102"/>
      <c r="D102" s="2" t="s">
        <v>100</v>
      </c>
      <c r="E102" s="1" t="s">
        <v>115</v>
      </c>
    </row>
    <row r="103" spans="1:5" x14ac:dyDescent="0.25">
      <c r="A103"/>
      <c r="B103"/>
      <c r="C103"/>
      <c r="D103" s="2" t="s">
        <v>100</v>
      </c>
      <c r="E103" s="1" t="s">
        <v>114</v>
      </c>
    </row>
    <row r="104" spans="1:5" x14ac:dyDescent="0.25">
      <c r="A104"/>
      <c r="B104"/>
      <c r="C104"/>
      <c r="D104" s="2" t="s">
        <v>1</v>
      </c>
      <c r="E104" s="1" t="s">
        <v>175</v>
      </c>
    </row>
    <row r="105" spans="1:5" x14ac:dyDescent="0.25">
      <c r="A105"/>
      <c r="B105"/>
      <c r="C105"/>
      <c r="D105" s="2" t="s">
        <v>1</v>
      </c>
      <c r="E105" s="1" t="s">
        <v>174</v>
      </c>
    </row>
    <row r="106" spans="1:5" x14ac:dyDescent="0.25">
      <c r="A106"/>
      <c r="B106"/>
      <c r="C106"/>
      <c r="D106" s="2" t="s">
        <v>1</v>
      </c>
      <c r="E106" s="1" t="s">
        <v>173</v>
      </c>
    </row>
    <row r="107" spans="1:5" x14ac:dyDescent="0.25">
      <c r="A107"/>
      <c r="B107"/>
      <c r="C107"/>
      <c r="D107" s="2" t="s">
        <v>1</v>
      </c>
      <c r="E107" s="1" t="s">
        <v>172</v>
      </c>
    </row>
    <row r="108" spans="1:5" x14ac:dyDescent="0.25">
      <c r="A108"/>
      <c r="B108"/>
      <c r="C108"/>
      <c r="D108" s="2" t="s">
        <v>100</v>
      </c>
      <c r="E108" s="1" t="s">
        <v>111</v>
      </c>
    </row>
    <row r="109" spans="1:5" x14ac:dyDescent="0.25">
      <c r="A109"/>
      <c r="B109"/>
      <c r="C109"/>
      <c r="D109" s="2" t="s">
        <v>100</v>
      </c>
      <c r="E109" s="1" t="s">
        <v>110</v>
      </c>
    </row>
    <row r="110" spans="1:5" x14ac:dyDescent="0.25">
      <c r="A110"/>
      <c r="B110"/>
      <c r="C110"/>
      <c r="D110" s="2" t="s">
        <v>1</v>
      </c>
      <c r="E110" s="1" t="s">
        <v>171</v>
      </c>
    </row>
    <row r="111" spans="1:5" x14ac:dyDescent="0.25">
      <c r="A111"/>
      <c r="B111"/>
      <c r="C111"/>
      <c r="D111" s="2" t="s">
        <v>1</v>
      </c>
      <c r="E111" s="1" t="s">
        <v>170</v>
      </c>
    </row>
    <row r="112" spans="1:5" x14ac:dyDescent="0.25">
      <c r="A112"/>
      <c r="B112"/>
      <c r="C112"/>
      <c r="D112" s="2" t="s">
        <v>1</v>
      </c>
      <c r="E112" s="1" t="s">
        <v>169</v>
      </c>
    </row>
    <row r="113" spans="1:5" x14ac:dyDescent="0.25">
      <c r="A113"/>
      <c r="B113"/>
      <c r="C113"/>
      <c r="D113" s="2" t="s">
        <v>1</v>
      </c>
      <c r="E113" s="1" t="s">
        <v>168</v>
      </c>
    </row>
    <row r="114" spans="1:5" x14ac:dyDescent="0.25">
      <c r="A114"/>
      <c r="B114"/>
      <c r="C114"/>
      <c r="D114" s="2" t="s">
        <v>100</v>
      </c>
      <c r="E114" s="1" t="s">
        <v>109</v>
      </c>
    </row>
    <row r="115" spans="1:5" x14ac:dyDescent="0.25">
      <c r="A115"/>
      <c r="B115"/>
      <c r="C115"/>
      <c r="D115" s="2" t="s">
        <v>100</v>
      </c>
      <c r="E115" s="1" t="s">
        <v>108</v>
      </c>
    </row>
    <row r="116" spans="1:5" x14ac:dyDescent="0.25">
      <c r="A116"/>
      <c r="B116"/>
      <c r="C116"/>
      <c r="D116" s="2" t="s">
        <v>1</v>
      </c>
      <c r="E116" s="1" t="s">
        <v>167</v>
      </c>
    </row>
    <row r="117" spans="1:5" x14ac:dyDescent="0.25">
      <c r="A117"/>
      <c r="B117"/>
      <c r="C117"/>
      <c r="D117" s="2" t="s">
        <v>1</v>
      </c>
      <c r="E117" s="1" t="s">
        <v>166</v>
      </c>
    </row>
    <row r="118" spans="1:5" x14ac:dyDescent="0.25">
      <c r="A118"/>
      <c r="B118"/>
      <c r="C118"/>
      <c r="D118" s="2" t="s">
        <v>1</v>
      </c>
      <c r="E118" s="1" t="s">
        <v>165</v>
      </c>
    </row>
    <row r="119" spans="1:5" x14ac:dyDescent="0.25">
      <c r="A119"/>
      <c r="B119"/>
      <c r="C119"/>
      <c r="D119" s="2" t="s">
        <v>1</v>
      </c>
      <c r="E119" s="1" t="s">
        <v>164</v>
      </c>
    </row>
    <row r="120" spans="1:5" x14ac:dyDescent="0.25">
      <c r="A120"/>
      <c r="B120"/>
      <c r="C120"/>
      <c r="D120" s="2" t="s">
        <v>100</v>
      </c>
      <c r="E120" s="1" t="s">
        <v>107</v>
      </c>
    </row>
    <row r="121" spans="1:5" x14ac:dyDescent="0.25">
      <c r="A121"/>
      <c r="B121"/>
      <c r="C121"/>
      <c r="D121" s="2" t="s">
        <v>100</v>
      </c>
      <c r="E121" s="1" t="s">
        <v>106</v>
      </c>
    </row>
    <row r="122" spans="1:5" x14ac:dyDescent="0.25">
      <c r="A122"/>
      <c r="B122"/>
      <c r="C122"/>
      <c r="D122" s="2" t="s">
        <v>1</v>
      </c>
      <c r="E122" s="1" t="s">
        <v>163</v>
      </c>
    </row>
    <row r="123" spans="1:5" x14ac:dyDescent="0.25">
      <c r="A123"/>
      <c r="B123"/>
      <c r="C123"/>
      <c r="D123" s="2" t="s">
        <v>1</v>
      </c>
      <c r="E123" s="1" t="s">
        <v>162</v>
      </c>
    </row>
    <row r="124" spans="1:5" x14ac:dyDescent="0.25">
      <c r="A124"/>
      <c r="B124"/>
      <c r="C124"/>
      <c r="D124" s="2" t="s">
        <v>1</v>
      </c>
      <c r="E124" s="1" t="s">
        <v>161</v>
      </c>
    </row>
    <row r="125" spans="1:5" x14ac:dyDescent="0.25">
      <c r="A125"/>
      <c r="B125"/>
      <c r="C125"/>
      <c r="D125" s="2" t="s">
        <v>1</v>
      </c>
      <c r="E125" s="1" t="s">
        <v>160</v>
      </c>
    </row>
    <row r="126" spans="1:5" x14ac:dyDescent="0.25">
      <c r="A126"/>
      <c r="B126"/>
      <c r="C126"/>
      <c r="D126" s="2" t="s">
        <v>100</v>
      </c>
      <c r="E126" s="1" t="s">
        <v>105</v>
      </c>
    </row>
    <row r="127" spans="1:5" x14ac:dyDescent="0.25">
      <c r="A127"/>
      <c r="B127"/>
      <c r="C127"/>
      <c r="D127" s="2" t="s">
        <v>100</v>
      </c>
      <c r="E127" s="1" t="s">
        <v>104</v>
      </c>
    </row>
    <row r="128" spans="1:5" x14ac:dyDescent="0.25">
      <c r="A128"/>
      <c r="B128"/>
      <c r="C128"/>
      <c r="D128" s="2" t="s">
        <v>1</v>
      </c>
      <c r="E128" s="1" t="s">
        <v>159</v>
      </c>
    </row>
    <row r="129" spans="1:10" x14ac:dyDescent="0.25">
      <c r="A129"/>
      <c r="B129"/>
      <c r="C129"/>
      <c r="D129" s="2" t="s">
        <v>1</v>
      </c>
      <c r="E129" s="1" t="s">
        <v>158</v>
      </c>
    </row>
    <row r="130" spans="1:10" x14ac:dyDescent="0.25">
      <c r="A130"/>
      <c r="B130"/>
      <c r="C130"/>
      <c r="D130" s="2" t="s">
        <v>1</v>
      </c>
      <c r="E130" s="1" t="s">
        <v>157</v>
      </c>
    </row>
    <row r="131" spans="1:10" x14ac:dyDescent="0.25">
      <c r="A131"/>
      <c r="B131"/>
      <c r="C131"/>
      <c r="D131" s="2" t="s">
        <v>1</v>
      </c>
      <c r="E131" s="1" t="s">
        <v>156</v>
      </c>
    </row>
    <row r="132" spans="1:10" x14ac:dyDescent="0.25">
      <c r="A132"/>
      <c r="B132"/>
      <c r="C132"/>
      <c r="D132" s="2" t="s">
        <v>100</v>
      </c>
      <c r="E132" s="1" t="s">
        <v>103</v>
      </c>
    </row>
    <row r="133" spans="1:10" x14ac:dyDescent="0.25">
      <c r="A133"/>
      <c r="B133"/>
      <c r="C133"/>
      <c r="D133" s="2" t="s">
        <v>100</v>
      </c>
      <c r="E133" s="1" t="s">
        <v>102</v>
      </c>
      <c r="G133" s="10" t="s">
        <v>188</v>
      </c>
    </row>
    <row r="134" spans="1:10" x14ac:dyDescent="0.25">
      <c r="A134"/>
      <c r="B134"/>
      <c r="C134"/>
      <c r="D134" s="2" t="s">
        <v>1</v>
      </c>
      <c r="E134" s="1" t="s">
        <v>59</v>
      </c>
    </row>
    <row r="135" spans="1:10" x14ac:dyDescent="0.25">
      <c r="A135"/>
      <c r="B135"/>
      <c r="C135"/>
      <c r="D135" s="2" t="s">
        <v>1</v>
      </c>
      <c r="E135" s="1" t="s">
        <v>56</v>
      </c>
      <c r="G135" s="6"/>
      <c r="H135" s="6"/>
      <c r="I135" s="7" t="s">
        <v>187</v>
      </c>
      <c r="J135" s="7" t="s">
        <v>186</v>
      </c>
    </row>
    <row r="136" spans="1:10" x14ac:dyDescent="0.25">
      <c r="A136"/>
      <c r="B136"/>
      <c r="C136"/>
      <c r="D136" s="2" t="s">
        <v>1</v>
      </c>
      <c r="E136" s="1" t="s">
        <v>54</v>
      </c>
      <c r="H136" s="6"/>
    </row>
    <row r="137" spans="1:10" x14ac:dyDescent="0.25">
      <c r="A137"/>
      <c r="B137"/>
      <c r="C137"/>
      <c r="D137" s="2" t="s">
        <v>1</v>
      </c>
      <c r="E137" s="1" t="s">
        <v>53</v>
      </c>
      <c r="G137" t="s">
        <v>185</v>
      </c>
      <c r="H137" t="s">
        <v>0</v>
      </c>
      <c r="I137" t="str">
        <f t="shared" ref="I137:I144" si="0">$I$135&amp;"-"&amp;G137</f>
        <v>P18-PVC</v>
      </c>
    </row>
    <row r="138" spans="1:10" x14ac:dyDescent="0.25">
      <c r="A138"/>
      <c r="B138"/>
      <c r="C138"/>
      <c r="D138" s="2" t="s">
        <v>100</v>
      </c>
      <c r="E138" s="1" t="s">
        <v>101</v>
      </c>
      <c r="G138" t="s">
        <v>183</v>
      </c>
      <c r="H138" t="s">
        <v>0</v>
      </c>
      <c r="I138" t="str">
        <f t="shared" si="0"/>
        <v>P18-PVO</v>
      </c>
    </row>
    <row r="139" spans="1:10" x14ac:dyDescent="0.25">
      <c r="A139"/>
      <c r="B139"/>
      <c r="C139"/>
      <c r="D139" s="2" t="s">
        <v>100</v>
      </c>
      <c r="E139" s="1" t="s">
        <v>99</v>
      </c>
      <c r="G139" t="s">
        <v>27</v>
      </c>
      <c r="H139" t="s">
        <v>0</v>
      </c>
      <c r="I139" t="str">
        <f t="shared" si="0"/>
        <v>P18-PHV</v>
      </c>
    </row>
    <row r="140" spans="1:10" x14ac:dyDescent="0.25">
      <c r="A140"/>
      <c r="B140"/>
      <c r="C140"/>
      <c r="D140" s="2" t="s">
        <v>120</v>
      </c>
      <c r="E140" s="1" t="s">
        <v>121</v>
      </c>
      <c r="G140" t="s">
        <v>28</v>
      </c>
      <c r="H140" t="s">
        <v>0</v>
      </c>
      <c r="I140" t="str">
        <f t="shared" si="0"/>
        <v>P18-THV</v>
      </c>
    </row>
    <row r="141" spans="1:10" x14ac:dyDescent="0.25">
      <c r="A141"/>
      <c r="B141"/>
      <c r="C141"/>
      <c r="D141" s="2" t="s">
        <v>120</v>
      </c>
      <c r="E141" s="1" t="s">
        <v>119</v>
      </c>
      <c r="G141" t="s">
        <v>25</v>
      </c>
      <c r="H141" t="s">
        <v>1</v>
      </c>
      <c r="I141" t="str">
        <f t="shared" si="0"/>
        <v>P18-D2</v>
      </c>
    </row>
    <row r="142" spans="1:10" x14ac:dyDescent="0.25">
      <c r="A142"/>
      <c r="B142"/>
      <c r="C142"/>
      <c r="D142" s="2" t="s">
        <v>71</v>
      </c>
      <c r="E142" s="1" t="s">
        <v>133</v>
      </c>
      <c r="G142" t="s">
        <v>18</v>
      </c>
      <c r="H142" t="s">
        <v>1</v>
      </c>
      <c r="I142" t="str">
        <f t="shared" si="0"/>
        <v>P18-D5</v>
      </c>
    </row>
    <row r="143" spans="1:10" x14ac:dyDescent="0.25">
      <c r="A143"/>
      <c r="B143"/>
      <c r="C143"/>
      <c r="D143" s="2" t="s">
        <v>71</v>
      </c>
      <c r="E143" s="1" t="s">
        <v>132</v>
      </c>
      <c r="G143" t="s">
        <v>17</v>
      </c>
      <c r="H143" t="s">
        <v>1</v>
      </c>
      <c r="I143" t="str">
        <f t="shared" si="0"/>
        <v>P18-D7</v>
      </c>
    </row>
    <row r="144" spans="1:10" x14ac:dyDescent="0.25">
      <c r="A144"/>
      <c r="B144"/>
      <c r="C144"/>
      <c r="D144" s="2" t="s">
        <v>71</v>
      </c>
      <c r="E144" s="1" t="s">
        <v>131</v>
      </c>
      <c r="G144" t="s">
        <v>15</v>
      </c>
      <c r="H144" t="s">
        <v>1</v>
      </c>
      <c r="I144" t="str">
        <f t="shared" si="0"/>
        <v>P18-D8</v>
      </c>
    </row>
    <row r="145" spans="1:9" x14ac:dyDescent="0.25">
      <c r="A145"/>
      <c r="B145"/>
      <c r="C145"/>
      <c r="D145" s="2" t="s">
        <v>71</v>
      </c>
      <c r="E145" s="1" t="s">
        <v>130</v>
      </c>
      <c r="H145" t="s">
        <v>100</v>
      </c>
      <c r="I145" t="str">
        <f>"5401"&amp;J$135</f>
        <v>5401H</v>
      </c>
    </row>
    <row r="146" spans="1:9" x14ac:dyDescent="0.25">
      <c r="A146"/>
      <c r="B146"/>
      <c r="C146"/>
      <c r="D146" s="2" t="s">
        <v>71</v>
      </c>
      <c r="E146" s="1" t="s">
        <v>128</v>
      </c>
      <c r="H146" t="s">
        <v>100</v>
      </c>
      <c r="I146" t="str">
        <f>"5402"&amp;J$135</f>
        <v>5402H</v>
      </c>
    </row>
    <row r="147" spans="1:9" x14ac:dyDescent="0.25">
      <c r="A147"/>
      <c r="B147"/>
      <c r="C147"/>
      <c r="D147" s="2" t="s">
        <v>71</v>
      </c>
      <c r="E147" s="1" t="s">
        <v>129</v>
      </c>
    </row>
    <row r="148" spans="1:9" x14ac:dyDescent="0.25">
      <c r="A148"/>
      <c r="B148"/>
      <c r="C148"/>
      <c r="D148" s="2" t="s">
        <v>71</v>
      </c>
      <c r="E148" s="1" t="s">
        <v>127</v>
      </c>
    </row>
    <row r="149" spans="1:9" x14ac:dyDescent="0.25">
      <c r="A149"/>
      <c r="B149"/>
      <c r="C149"/>
      <c r="D149" s="2" t="s">
        <v>71</v>
      </c>
      <c r="E149" s="1" t="s">
        <v>126</v>
      </c>
    </row>
    <row r="150" spans="1:9" x14ac:dyDescent="0.25">
      <c r="A150"/>
      <c r="B150"/>
      <c r="C150"/>
      <c r="D150" s="2" t="s">
        <v>71</v>
      </c>
      <c r="E150" s="1" t="s">
        <v>155</v>
      </c>
    </row>
    <row r="151" spans="1:9" x14ac:dyDescent="0.25">
      <c r="A151"/>
      <c r="B151"/>
      <c r="C151"/>
      <c r="D151" s="2" t="s">
        <v>71</v>
      </c>
      <c r="E151" s="1" t="s">
        <v>154</v>
      </c>
    </row>
    <row r="152" spans="1:9" x14ac:dyDescent="0.25">
      <c r="A152"/>
      <c r="B152"/>
      <c r="C152"/>
      <c r="D152" s="2" t="s">
        <v>71</v>
      </c>
      <c r="E152" s="1" t="s">
        <v>153</v>
      </c>
    </row>
    <row r="153" spans="1:9" x14ac:dyDescent="0.25">
      <c r="A153"/>
      <c r="B153"/>
      <c r="C153"/>
      <c r="D153" s="2" t="s">
        <v>71</v>
      </c>
      <c r="E153" s="1" t="s">
        <v>152</v>
      </c>
    </row>
    <row r="154" spans="1:9" x14ac:dyDescent="0.25">
      <c r="A154"/>
      <c r="B154"/>
      <c r="C154"/>
      <c r="D154" s="2" t="s">
        <v>71</v>
      </c>
      <c r="E154" s="1" t="s">
        <v>151</v>
      </c>
    </row>
    <row r="155" spans="1:9" x14ac:dyDescent="0.25">
      <c r="A155"/>
      <c r="B155"/>
      <c r="C155"/>
      <c r="D155" s="2" t="s">
        <v>71</v>
      </c>
      <c r="E155" s="1" t="s">
        <v>150</v>
      </c>
    </row>
    <row r="156" spans="1:9" x14ac:dyDescent="0.25">
      <c r="A156"/>
      <c r="B156"/>
      <c r="C156"/>
      <c r="D156" s="2" t="s">
        <v>71</v>
      </c>
      <c r="E156" s="1" t="s">
        <v>125</v>
      </c>
    </row>
    <row r="157" spans="1:9" x14ac:dyDescent="0.25">
      <c r="A157"/>
      <c r="B157"/>
      <c r="C157"/>
      <c r="D157" s="2" t="s">
        <v>71</v>
      </c>
      <c r="E157" s="1" t="s">
        <v>124</v>
      </c>
    </row>
    <row r="158" spans="1:9" x14ac:dyDescent="0.25">
      <c r="A158"/>
      <c r="B158"/>
      <c r="C158"/>
      <c r="D158" s="2" t="s">
        <v>71</v>
      </c>
      <c r="E158" s="1" t="s">
        <v>149</v>
      </c>
    </row>
    <row r="159" spans="1:9" x14ac:dyDescent="0.25">
      <c r="A159"/>
      <c r="B159"/>
      <c r="C159"/>
      <c r="D159" s="2" t="s">
        <v>71</v>
      </c>
      <c r="E159" s="1" t="s">
        <v>148</v>
      </c>
    </row>
    <row r="160" spans="1:9" x14ac:dyDescent="0.25">
      <c r="A160"/>
      <c r="B160"/>
      <c r="C160"/>
      <c r="D160" s="2" t="s">
        <v>71</v>
      </c>
      <c r="E160" s="1" t="s">
        <v>147</v>
      </c>
    </row>
    <row r="161" spans="1:5" x14ac:dyDescent="0.25">
      <c r="A161"/>
      <c r="B161"/>
      <c r="C161"/>
      <c r="D161" s="2" t="s">
        <v>71</v>
      </c>
      <c r="E161" s="1" t="s">
        <v>146</v>
      </c>
    </row>
    <row r="162" spans="1:5" x14ac:dyDescent="0.25">
      <c r="A162"/>
      <c r="B162"/>
      <c r="C162"/>
      <c r="D162" s="2" t="s">
        <v>71</v>
      </c>
      <c r="E162" s="1" t="s">
        <v>145</v>
      </c>
    </row>
    <row r="163" spans="1:5" x14ac:dyDescent="0.25">
      <c r="A163"/>
      <c r="B163"/>
      <c r="C163"/>
      <c r="D163" s="2" t="s">
        <v>71</v>
      </c>
      <c r="E163" s="1" t="s">
        <v>144</v>
      </c>
    </row>
    <row r="164" spans="1:5" x14ac:dyDescent="0.25">
      <c r="A164"/>
      <c r="B164"/>
      <c r="C164"/>
      <c r="D164" s="2" t="s">
        <v>71</v>
      </c>
      <c r="E164" s="1" t="s">
        <v>143</v>
      </c>
    </row>
    <row r="165" spans="1:5" x14ac:dyDescent="0.25">
      <c r="A165"/>
      <c r="B165"/>
      <c r="C165"/>
      <c r="D165" s="2" t="s">
        <v>71</v>
      </c>
      <c r="E165" s="1" t="s">
        <v>142</v>
      </c>
    </row>
    <row r="166" spans="1:5" x14ac:dyDescent="0.25">
      <c r="A166"/>
      <c r="B166"/>
      <c r="C166"/>
      <c r="D166" s="2" t="s">
        <v>71</v>
      </c>
      <c r="E166" s="1" t="s">
        <v>122</v>
      </c>
    </row>
    <row r="167" spans="1:5" x14ac:dyDescent="0.25">
      <c r="A167"/>
      <c r="B167"/>
      <c r="C167"/>
      <c r="D167" s="2" t="s">
        <v>71</v>
      </c>
      <c r="E167" s="1" t="s">
        <v>123</v>
      </c>
    </row>
    <row r="168" spans="1:5" x14ac:dyDescent="0.25">
      <c r="A168"/>
      <c r="B168"/>
      <c r="C168"/>
      <c r="D168" s="2" t="s">
        <v>71</v>
      </c>
      <c r="E168" s="1" t="s">
        <v>141</v>
      </c>
    </row>
    <row r="169" spans="1:5" x14ac:dyDescent="0.25">
      <c r="A169"/>
      <c r="B169"/>
      <c r="C169"/>
      <c r="D169" s="2" t="s">
        <v>71</v>
      </c>
      <c r="E169" s="1" t="s">
        <v>140</v>
      </c>
    </row>
    <row r="170" spans="1:5" x14ac:dyDescent="0.25">
      <c r="A170"/>
      <c r="B170"/>
      <c r="C170"/>
      <c r="D170" s="2" t="s">
        <v>100</v>
      </c>
      <c r="E170" s="1">
        <v>5403</v>
      </c>
    </row>
    <row r="171" spans="1:5" x14ac:dyDescent="0.25">
      <c r="A171"/>
      <c r="B171"/>
      <c r="C171"/>
      <c r="D171" s="2" t="s">
        <v>100</v>
      </c>
      <c r="E171" s="1">
        <v>5404</v>
      </c>
    </row>
    <row r="172" spans="1:5" x14ac:dyDescent="0.25">
      <c r="A172"/>
      <c r="B172"/>
      <c r="C172"/>
      <c r="D172" s="2" t="s">
        <v>71</v>
      </c>
      <c r="E172" s="1" t="s">
        <v>139</v>
      </c>
    </row>
    <row r="173" spans="1:5" x14ac:dyDescent="0.25">
      <c r="A173"/>
      <c r="B173"/>
      <c r="C173"/>
      <c r="D173" s="2" t="s">
        <v>71</v>
      </c>
      <c r="E173" s="1" t="s">
        <v>138</v>
      </c>
    </row>
    <row r="174" spans="1:5" x14ac:dyDescent="0.25">
      <c r="A174"/>
      <c r="B174"/>
      <c r="C174"/>
      <c r="D174" s="2" t="s">
        <v>66</v>
      </c>
      <c r="E174" s="1" t="s">
        <v>137</v>
      </c>
    </row>
    <row r="175" spans="1:5" x14ac:dyDescent="0.25">
      <c r="A175"/>
      <c r="B175"/>
      <c r="C175"/>
      <c r="D175" s="2" t="s">
        <v>66</v>
      </c>
      <c r="E175" s="1" t="s">
        <v>136</v>
      </c>
    </row>
    <row r="176" spans="1:5" x14ac:dyDescent="0.25">
      <c r="A176"/>
      <c r="B176"/>
      <c r="C176"/>
      <c r="D176" s="2" t="s">
        <v>71</v>
      </c>
      <c r="E176" s="1" t="s">
        <v>135</v>
      </c>
    </row>
    <row r="177" spans="1:5" x14ac:dyDescent="0.25">
      <c r="A177"/>
      <c r="B177"/>
      <c r="C177"/>
      <c r="D177" s="2" t="s">
        <v>66</v>
      </c>
      <c r="E177" s="1" t="s">
        <v>134</v>
      </c>
    </row>
    <row r="178" spans="1:5" x14ac:dyDescent="0.25">
      <c r="A178"/>
      <c r="B178"/>
      <c r="C178"/>
      <c r="D178" s="2" t="s">
        <v>66</v>
      </c>
      <c r="E178" s="1" t="s">
        <v>118</v>
      </c>
    </row>
    <row r="179" spans="1:5" x14ac:dyDescent="0.25">
      <c r="A179"/>
      <c r="B179"/>
      <c r="C179"/>
      <c r="D179" s="2" t="s">
        <v>100</v>
      </c>
      <c r="E179" s="1" t="s">
        <v>117</v>
      </c>
    </row>
    <row r="180" spans="1:5" x14ac:dyDescent="0.25">
      <c r="A180"/>
      <c r="B180"/>
      <c r="C180"/>
      <c r="D180" s="2" t="s">
        <v>100</v>
      </c>
      <c r="E180" s="1" t="s">
        <v>116</v>
      </c>
    </row>
    <row r="181" spans="1:5" x14ac:dyDescent="0.25">
      <c r="A181"/>
      <c r="B181"/>
      <c r="C181"/>
      <c r="D181" s="2" t="s">
        <v>66</v>
      </c>
      <c r="E181" s="1" t="s">
        <v>98</v>
      </c>
    </row>
    <row r="182" spans="1:5" x14ac:dyDescent="0.25">
      <c r="A182"/>
      <c r="B182"/>
      <c r="C182"/>
      <c r="D182" s="2" t="s">
        <v>66</v>
      </c>
      <c r="E182" s="1" t="s">
        <v>97</v>
      </c>
    </row>
    <row r="183" spans="1:5" x14ac:dyDescent="0.25">
      <c r="A183"/>
      <c r="B183"/>
      <c r="C183"/>
      <c r="D183" s="2" t="s">
        <v>66</v>
      </c>
      <c r="E183" s="1" t="s">
        <v>96</v>
      </c>
    </row>
    <row r="184" spans="1:5" x14ac:dyDescent="0.25">
      <c r="A184"/>
      <c r="B184"/>
      <c r="C184"/>
      <c r="D184" s="2" t="s">
        <v>66</v>
      </c>
      <c r="E184" s="1" t="s">
        <v>95</v>
      </c>
    </row>
    <row r="185" spans="1:5" x14ac:dyDescent="0.25">
      <c r="A185"/>
      <c r="B185"/>
      <c r="C185"/>
      <c r="D185" s="2" t="s">
        <v>71</v>
      </c>
      <c r="E185" s="1" t="s">
        <v>94</v>
      </c>
    </row>
    <row r="186" spans="1:5" x14ac:dyDescent="0.25">
      <c r="A186"/>
      <c r="B186"/>
      <c r="C186"/>
      <c r="D186" s="2" t="s">
        <v>66</v>
      </c>
      <c r="E186" s="1" t="s">
        <v>93</v>
      </c>
    </row>
    <row r="187" spans="1:5" x14ac:dyDescent="0.25">
      <c r="A187"/>
      <c r="B187"/>
      <c r="C187"/>
      <c r="D187" s="2" t="s">
        <v>66</v>
      </c>
      <c r="E187" s="1" t="s">
        <v>92</v>
      </c>
    </row>
    <row r="188" spans="1:5" x14ac:dyDescent="0.25">
      <c r="A188"/>
      <c r="B188"/>
      <c r="C188"/>
      <c r="D188" s="2" t="s">
        <v>66</v>
      </c>
      <c r="E188" s="1" t="s">
        <v>91</v>
      </c>
    </row>
    <row r="189" spans="1:5" x14ac:dyDescent="0.25">
      <c r="A189"/>
      <c r="B189"/>
      <c r="C189"/>
      <c r="D189" s="2" t="s">
        <v>66</v>
      </c>
      <c r="E189" s="1" t="s">
        <v>90</v>
      </c>
    </row>
    <row r="190" spans="1:5" x14ac:dyDescent="0.25">
      <c r="A190"/>
      <c r="B190"/>
      <c r="C190"/>
      <c r="D190" s="2" t="s">
        <v>66</v>
      </c>
      <c r="E190" s="1" t="s">
        <v>89</v>
      </c>
    </row>
    <row r="191" spans="1:5" x14ac:dyDescent="0.25">
      <c r="A191"/>
      <c r="B191"/>
      <c r="C191"/>
      <c r="D191" s="2" t="s">
        <v>66</v>
      </c>
      <c r="E191" s="1" t="s">
        <v>88</v>
      </c>
    </row>
    <row r="192" spans="1:5" x14ac:dyDescent="0.25">
      <c r="A192"/>
      <c r="B192"/>
      <c r="C192"/>
      <c r="D192" s="2" t="s">
        <v>66</v>
      </c>
      <c r="E192" s="1" t="s">
        <v>87</v>
      </c>
    </row>
    <row r="193" spans="1:5" x14ac:dyDescent="0.25">
      <c r="A193"/>
      <c r="B193"/>
      <c r="C193"/>
      <c r="D193" s="2" t="s">
        <v>71</v>
      </c>
      <c r="E193" s="1" t="s">
        <v>86</v>
      </c>
    </row>
    <row r="194" spans="1:5" x14ac:dyDescent="0.25">
      <c r="A194"/>
      <c r="B194"/>
      <c r="C194"/>
      <c r="D194" s="2" t="s">
        <v>66</v>
      </c>
      <c r="E194" s="1" t="s">
        <v>85</v>
      </c>
    </row>
    <row r="195" spans="1:5" x14ac:dyDescent="0.25">
      <c r="A195"/>
      <c r="B195"/>
      <c r="C195"/>
      <c r="D195" s="2" t="s">
        <v>66</v>
      </c>
      <c r="E195" s="1" t="s">
        <v>84</v>
      </c>
    </row>
    <row r="196" spans="1:5" x14ac:dyDescent="0.25">
      <c r="A196"/>
      <c r="B196"/>
      <c r="C196"/>
      <c r="D196" s="2" t="s">
        <v>66</v>
      </c>
      <c r="E196" s="1" t="s">
        <v>83</v>
      </c>
    </row>
    <row r="197" spans="1:5" x14ac:dyDescent="0.25">
      <c r="A197"/>
      <c r="B197"/>
      <c r="C197"/>
      <c r="D197" s="2" t="s">
        <v>66</v>
      </c>
      <c r="E197" s="1" t="s">
        <v>82</v>
      </c>
    </row>
    <row r="198" spans="1:5" x14ac:dyDescent="0.25">
      <c r="A198"/>
      <c r="B198"/>
      <c r="C198"/>
      <c r="D198" s="2" t="s">
        <v>66</v>
      </c>
      <c r="E198" s="1" t="s">
        <v>81</v>
      </c>
    </row>
    <row r="199" spans="1:5" x14ac:dyDescent="0.25">
      <c r="A199"/>
      <c r="B199"/>
      <c r="C199"/>
      <c r="D199" s="2" t="s">
        <v>66</v>
      </c>
      <c r="E199" s="1" t="s">
        <v>80</v>
      </c>
    </row>
    <row r="200" spans="1:5" x14ac:dyDescent="0.25">
      <c r="A200"/>
      <c r="B200"/>
      <c r="C200"/>
      <c r="D200" s="2" t="s">
        <v>71</v>
      </c>
      <c r="E200" s="1" t="s">
        <v>79</v>
      </c>
    </row>
    <row r="201" spans="1:5" x14ac:dyDescent="0.25">
      <c r="A201"/>
      <c r="B201"/>
      <c r="C201"/>
      <c r="D201" s="2" t="s">
        <v>66</v>
      </c>
      <c r="E201" s="1" t="s">
        <v>78</v>
      </c>
    </row>
    <row r="202" spans="1:5" x14ac:dyDescent="0.25">
      <c r="A202"/>
      <c r="B202"/>
      <c r="C202"/>
      <c r="D202" s="2" t="s">
        <v>66</v>
      </c>
      <c r="E202" s="1" t="s">
        <v>77</v>
      </c>
    </row>
    <row r="203" spans="1:5" x14ac:dyDescent="0.25">
      <c r="A203"/>
      <c r="B203"/>
      <c r="C203"/>
      <c r="D203" s="2" t="s">
        <v>66</v>
      </c>
      <c r="E203" s="1" t="s">
        <v>76</v>
      </c>
    </row>
    <row r="204" spans="1:5" x14ac:dyDescent="0.25">
      <c r="A204"/>
      <c r="B204"/>
      <c r="C204"/>
      <c r="D204" s="2" t="s">
        <v>66</v>
      </c>
      <c r="E204" s="1" t="s">
        <v>75</v>
      </c>
    </row>
    <row r="205" spans="1:5" x14ac:dyDescent="0.25">
      <c r="A205"/>
      <c r="B205"/>
      <c r="C205"/>
      <c r="D205" s="2" t="s">
        <v>66</v>
      </c>
      <c r="E205" s="1" t="s">
        <v>74</v>
      </c>
    </row>
    <row r="206" spans="1:5" x14ac:dyDescent="0.25">
      <c r="A206"/>
      <c r="B206"/>
      <c r="C206"/>
      <c r="D206" s="2" t="s">
        <v>66</v>
      </c>
      <c r="E206" s="1" t="s">
        <v>73</v>
      </c>
    </row>
    <row r="207" spans="1:5" x14ac:dyDescent="0.25">
      <c r="A207"/>
      <c r="B207"/>
      <c r="C207"/>
      <c r="D207" s="2" t="s">
        <v>66</v>
      </c>
      <c r="E207" s="1" t="s">
        <v>72</v>
      </c>
    </row>
    <row r="208" spans="1:5" x14ac:dyDescent="0.25">
      <c r="A208"/>
      <c r="B208"/>
      <c r="C208"/>
      <c r="D208" s="2" t="s">
        <v>71</v>
      </c>
      <c r="E208" s="1" t="s">
        <v>70</v>
      </c>
    </row>
    <row r="209" spans="1:5" x14ac:dyDescent="0.25">
      <c r="A209"/>
      <c r="B209"/>
      <c r="C209"/>
      <c r="D209" s="2" t="s">
        <v>66</v>
      </c>
      <c r="E209" s="1" t="s">
        <v>69</v>
      </c>
    </row>
    <row r="210" spans="1:5" x14ac:dyDescent="0.25">
      <c r="A210"/>
      <c r="B210"/>
      <c r="C210"/>
      <c r="D210" s="2" t="s">
        <v>66</v>
      </c>
      <c r="E210" s="1" t="s">
        <v>68</v>
      </c>
    </row>
    <row r="211" spans="1:5" x14ac:dyDescent="0.25">
      <c r="A211"/>
      <c r="B211"/>
      <c r="C211"/>
      <c r="D211" s="2" t="s">
        <v>66</v>
      </c>
      <c r="E211" s="1" t="s">
        <v>67</v>
      </c>
    </row>
    <row r="212" spans="1:5" x14ac:dyDescent="0.25">
      <c r="A212"/>
      <c r="B212"/>
      <c r="C212"/>
      <c r="D212" s="2" t="s">
        <v>66</v>
      </c>
      <c r="E212" s="1" t="s">
        <v>65</v>
      </c>
    </row>
    <row r="213" spans="1:5" x14ac:dyDescent="0.25">
      <c r="A213"/>
      <c r="B213"/>
      <c r="C213"/>
    </row>
    <row r="214" spans="1:5" x14ac:dyDescent="0.25">
      <c r="A214"/>
      <c r="B214"/>
      <c r="C214"/>
    </row>
    <row r="215" spans="1:5" x14ac:dyDescent="0.25">
      <c r="A215"/>
      <c r="B215"/>
      <c r="C215"/>
    </row>
    <row r="216" spans="1:5" x14ac:dyDescent="0.25">
      <c r="A216"/>
      <c r="B216"/>
      <c r="C216"/>
    </row>
    <row r="217" spans="1:5" x14ac:dyDescent="0.25">
      <c r="A217"/>
      <c r="B217"/>
      <c r="C217"/>
    </row>
    <row r="218" spans="1:5" x14ac:dyDescent="0.25">
      <c r="A218"/>
      <c r="B218"/>
      <c r="C218"/>
    </row>
    <row r="219" spans="1:5" x14ac:dyDescent="0.25">
      <c r="A219"/>
      <c r="B219"/>
      <c r="C219"/>
    </row>
    <row r="220" spans="1:5" x14ac:dyDescent="0.25">
      <c r="A220"/>
      <c r="B220"/>
      <c r="C220"/>
    </row>
    <row r="221" spans="1:5" x14ac:dyDescent="0.25">
      <c r="A221"/>
      <c r="B221"/>
      <c r="C221"/>
    </row>
    <row r="222" spans="1:5" x14ac:dyDescent="0.25">
      <c r="A222"/>
      <c r="B222"/>
      <c r="C222"/>
    </row>
    <row r="223" spans="1:5" x14ac:dyDescent="0.25">
      <c r="A223"/>
      <c r="B223"/>
      <c r="C223"/>
    </row>
    <row r="224" spans="1:5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K53"/>
  <sheetViews>
    <sheetView topLeftCell="A17" workbookViewId="0">
      <selection activeCell="D3" sqref="D3:E53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1" t="s">
        <v>727</v>
      </c>
      <c r="B1" s="9" t="s">
        <v>728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Manifold_Manifold_Module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Others (Combined)</v>
      </c>
      <c r="C3" s="2" t="str">
        <f ca="1">MID(CELL("filename",A1),FIND("]",CELL("filename",A1))+1,255)</f>
        <v>CSA11</v>
      </c>
      <c r="D3" s="5" t="s">
        <v>64</v>
      </c>
      <c r="E3" s="4"/>
      <c r="G3" s="6"/>
      <c r="H3" s="6"/>
      <c r="I3" s="7"/>
      <c r="J3" s="6"/>
      <c r="K3" s="6"/>
    </row>
    <row r="4" spans="1:11" x14ac:dyDescent="0.25">
      <c r="D4" s="5" t="s">
        <v>62</v>
      </c>
      <c r="E4" s="4" t="s">
        <v>63</v>
      </c>
    </row>
    <row r="5" spans="1:11" x14ac:dyDescent="0.25">
      <c r="D5" s="5" t="s">
        <v>62</v>
      </c>
      <c r="E5" s="4" t="s">
        <v>61</v>
      </c>
    </row>
    <row r="6" spans="1:11" x14ac:dyDescent="0.25">
      <c r="D6" s="5" t="s">
        <v>0</v>
      </c>
      <c r="E6" s="4" t="s">
        <v>52</v>
      </c>
    </row>
    <row r="7" spans="1:11" x14ac:dyDescent="0.25">
      <c r="D7" s="5" t="s">
        <v>0</v>
      </c>
      <c r="E7" s="4" t="s">
        <v>51</v>
      </c>
    </row>
    <row r="8" spans="1:11" x14ac:dyDescent="0.25">
      <c r="D8" s="5" t="s">
        <v>0</v>
      </c>
      <c r="E8" s="4" t="s">
        <v>44</v>
      </c>
    </row>
    <row r="9" spans="1:11" x14ac:dyDescent="0.25">
      <c r="D9" s="5" t="s">
        <v>0</v>
      </c>
      <c r="E9" s="4" t="s">
        <v>43</v>
      </c>
    </row>
    <row r="10" spans="1:11" x14ac:dyDescent="0.25">
      <c r="D10" s="5" t="s">
        <v>1</v>
      </c>
      <c r="E10" s="4" t="s">
        <v>50</v>
      </c>
    </row>
    <row r="11" spans="1:11" x14ac:dyDescent="0.25">
      <c r="D11" s="5" t="s">
        <v>1</v>
      </c>
      <c r="E11" s="4" t="s">
        <v>49</v>
      </c>
    </row>
    <row r="12" spans="1:11" x14ac:dyDescent="0.25">
      <c r="D12" s="5" t="s">
        <v>1</v>
      </c>
      <c r="E12" s="4" t="s">
        <v>48</v>
      </c>
    </row>
    <row r="13" spans="1:11" x14ac:dyDescent="0.25">
      <c r="D13" s="5" t="s">
        <v>1</v>
      </c>
      <c r="E13" s="4" t="s">
        <v>47</v>
      </c>
    </row>
    <row r="14" spans="1:11" x14ac:dyDescent="0.25">
      <c r="D14" s="5" t="s">
        <v>5</v>
      </c>
      <c r="E14" s="4" t="s">
        <v>46</v>
      </c>
    </row>
    <row r="15" spans="1:11" x14ac:dyDescent="0.25">
      <c r="D15" s="5" t="s">
        <v>5</v>
      </c>
      <c r="E15" s="4" t="s">
        <v>45</v>
      </c>
    </row>
    <row r="16" spans="1:11" x14ac:dyDescent="0.25">
      <c r="D16" s="5" t="s">
        <v>1</v>
      </c>
      <c r="E16" s="1" t="s">
        <v>281</v>
      </c>
    </row>
    <row r="17" spans="4:5" x14ac:dyDescent="0.25">
      <c r="D17" s="5" t="s">
        <v>1</v>
      </c>
      <c r="E17" s="1" t="s">
        <v>282</v>
      </c>
    </row>
    <row r="18" spans="4:5" x14ac:dyDescent="0.25">
      <c r="D18" s="5" t="s">
        <v>1</v>
      </c>
      <c r="E18" s="1" t="s">
        <v>283</v>
      </c>
    </row>
    <row r="19" spans="4:5" x14ac:dyDescent="0.25">
      <c r="D19" s="5" t="s">
        <v>1</v>
      </c>
      <c r="E19" s="1" t="s">
        <v>284</v>
      </c>
    </row>
    <row r="20" spans="4:5" x14ac:dyDescent="0.25">
      <c r="D20" s="5" t="s">
        <v>5</v>
      </c>
      <c r="E20" s="1" t="s">
        <v>285</v>
      </c>
    </row>
    <row r="21" spans="4:5" x14ac:dyDescent="0.25">
      <c r="D21" s="5" t="s">
        <v>5</v>
      </c>
      <c r="E21" s="1" t="s">
        <v>286</v>
      </c>
    </row>
    <row r="22" spans="4:5" x14ac:dyDescent="0.25">
      <c r="D22" s="5" t="s">
        <v>1</v>
      </c>
      <c r="E22" s="1" t="s">
        <v>287</v>
      </c>
    </row>
    <row r="23" spans="4:5" x14ac:dyDescent="0.25">
      <c r="D23" s="5" t="s">
        <v>1</v>
      </c>
      <c r="E23" s="1" t="s">
        <v>288</v>
      </c>
    </row>
    <row r="24" spans="4:5" x14ac:dyDescent="0.25">
      <c r="D24" s="5" t="s">
        <v>1</v>
      </c>
      <c r="E24" s="1" t="s">
        <v>289</v>
      </c>
    </row>
    <row r="25" spans="4:5" x14ac:dyDescent="0.25">
      <c r="D25" s="5" t="s">
        <v>1</v>
      </c>
      <c r="E25" s="1" t="s">
        <v>290</v>
      </c>
    </row>
    <row r="26" spans="4:5" x14ac:dyDescent="0.25">
      <c r="D26" s="5" t="s">
        <v>5</v>
      </c>
      <c r="E26" s="1" t="s">
        <v>291</v>
      </c>
    </row>
    <row r="27" spans="4:5" x14ac:dyDescent="0.25">
      <c r="D27" s="5" t="s">
        <v>5</v>
      </c>
      <c r="E27" s="1" t="s">
        <v>292</v>
      </c>
    </row>
    <row r="28" spans="4:5" x14ac:dyDescent="0.25">
      <c r="D28" s="5" t="s">
        <v>2</v>
      </c>
      <c r="E28" s="1" t="s">
        <v>293</v>
      </c>
    </row>
    <row r="29" spans="4:5" x14ac:dyDescent="0.25">
      <c r="D29" s="5" t="s">
        <v>1</v>
      </c>
      <c r="E29" s="1" t="s">
        <v>294</v>
      </c>
    </row>
    <row r="30" spans="4:5" x14ac:dyDescent="0.25">
      <c r="D30" s="5" t="s">
        <v>2</v>
      </c>
      <c r="E30" s="1" t="s">
        <v>295</v>
      </c>
    </row>
    <row r="31" spans="4:5" x14ac:dyDescent="0.25">
      <c r="D31" s="5" t="s">
        <v>2</v>
      </c>
      <c r="E31" s="1" t="s">
        <v>296</v>
      </c>
    </row>
    <row r="32" spans="4:5" x14ac:dyDescent="0.25">
      <c r="D32" s="5" t="s">
        <v>1</v>
      </c>
      <c r="E32" s="1" t="s">
        <v>297</v>
      </c>
    </row>
    <row r="33" spans="4:5" x14ac:dyDescent="0.25">
      <c r="D33" s="5" t="s">
        <v>2</v>
      </c>
      <c r="E33" s="1" t="s">
        <v>298</v>
      </c>
    </row>
    <row r="34" spans="4:5" x14ac:dyDescent="0.25">
      <c r="D34" s="5" t="s">
        <v>1</v>
      </c>
      <c r="E34" s="1" t="s">
        <v>299</v>
      </c>
    </row>
    <row r="35" spans="4:5" x14ac:dyDescent="0.25">
      <c r="D35" s="5" t="s">
        <v>1</v>
      </c>
      <c r="E35" s="1" t="s">
        <v>300</v>
      </c>
    </row>
    <row r="36" spans="4:5" x14ac:dyDescent="0.25">
      <c r="D36" s="5" t="s">
        <v>4</v>
      </c>
      <c r="E36" s="1" t="s">
        <v>301</v>
      </c>
    </row>
    <row r="37" spans="4:5" x14ac:dyDescent="0.25">
      <c r="D37" s="5" t="s">
        <v>4</v>
      </c>
      <c r="E37" s="1" t="s">
        <v>302</v>
      </c>
    </row>
    <row r="38" spans="4:5" x14ac:dyDescent="0.25">
      <c r="D38" s="5" t="s">
        <v>2</v>
      </c>
      <c r="E38" s="1" t="s">
        <v>60</v>
      </c>
    </row>
    <row r="39" spans="4:5" x14ac:dyDescent="0.25">
      <c r="D39" s="5" t="s">
        <v>1</v>
      </c>
      <c r="E39" s="1" t="s">
        <v>59</v>
      </c>
    </row>
    <row r="40" spans="4:5" x14ac:dyDescent="0.25">
      <c r="D40" s="5" t="s">
        <v>2</v>
      </c>
      <c r="E40" s="1" t="s">
        <v>58</v>
      </c>
    </row>
    <row r="41" spans="4:5" x14ac:dyDescent="0.25">
      <c r="D41" s="5" t="s">
        <v>2</v>
      </c>
      <c r="E41" s="1" t="s">
        <v>57</v>
      </c>
    </row>
    <row r="42" spans="4:5" x14ac:dyDescent="0.25">
      <c r="D42" s="5" t="s">
        <v>1</v>
      </c>
      <c r="E42" s="1" t="s">
        <v>56</v>
      </c>
    </row>
    <row r="43" spans="4:5" x14ac:dyDescent="0.25">
      <c r="D43" s="5" t="s">
        <v>2</v>
      </c>
      <c r="E43" s="1" t="s">
        <v>55</v>
      </c>
    </row>
    <row r="44" spans="4:5" x14ac:dyDescent="0.25">
      <c r="D44" s="5" t="s">
        <v>1</v>
      </c>
      <c r="E44" s="1" t="s">
        <v>54</v>
      </c>
    </row>
    <row r="45" spans="4:5" x14ac:dyDescent="0.25">
      <c r="D45" s="5" t="s">
        <v>1</v>
      </c>
      <c r="E45" s="1" t="s">
        <v>53</v>
      </c>
    </row>
    <row r="46" spans="4:5" x14ac:dyDescent="0.25">
      <c r="D46" s="5" t="s">
        <v>2</v>
      </c>
      <c r="E46" s="1" t="s">
        <v>600</v>
      </c>
    </row>
    <row r="47" spans="4:5" x14ac:dyDescent="0.25">
      <c r="D47" s="5" t="s">
        <v>1</v>
      </c>
      <c r="E47" s="1" t="s">
        <v>599</v>
      </c>
    </row>
    <row r="48" spans="4:5" x14ac:dyDescent="0.25">
      <c r="D48" s="5" t="s">
        <v>2</v>
      </c>
      <c r="E48" s="1" t="s">
        <v>598</v>
      </c>
    </row>
    <row r="49" spans="4:5" x14ac:dyDescent="0.25">
      <c r="D49" s="5" t="s">
        <v>2</v>
      </c>
      <c r="E49" s="1" t="s">
        <v>597</v>
      </c>
    </row>
    <row r="50" spans="4:5" x14ac:dyDescent="0.25">
      <c r="D50" s="5" t="s">
        <v>1</v>
      </c>
      <c r="E50" s="1" t="s">
        <v>596</v>
      </c>
    </row>
    <row r="51" spans="4:5" x14ac:dyDescent="0.25">
      <c r="D51" s="5" t="s">
        <v>2</v>
      </c>
      <c r="E51" s="1" t="s">
        <v>595</v>
      </c>
    </row>
    <row r="52" spans="4:5" x14ac:dyDescent="0.25">
      <c r="D52" s="5" t="s">
        <v>1</v>
      </c>
      <c r="E52" s="1" t="s">
        <v>594</v>
      </c>
    </row>
    <row r="53" spans="4:5" x14ac:dyDescent="0.25">
      <c r="D53" s="5" t="s">
        <v>1</v>
      </c>
      <c r="E53" s="1" t="s">
        <v>593</v>
      </c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C234"/>
  <sheetViews>
    <sheetView topLeftCell="A195" workbookViewId="0">
      <selection activeCell="D3" sqref="D3:E234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11.5703125" bestFit="1" customWidth="1"/>
    <col min="8" max="8" width="26.28515625" bestFit="1" customWidth="1"/>
    <col min="9" max="13" width="8.5703125" customWidth="1"/>
  </cols>
  <sheetData>
    <row r="1" spans="1:55" s="13" customFormat="1" x14ac:dyDescent="0.25">
      <c r="A1" s="14" t="s">
        <v>727</v>
      </c>
      <c r="B1" s="9" t="s">
        <v>728</v>
      </c>
      <c r="C1" s="3"/>
      <c r="D1" s="1"/>
      <c r="E1" s="1"/>
    </row>
    <row r="2" spans="1:55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7">
        <v>1</v>
      </c>
      <c r="K2" s="7">
        <v>2</v>
      </c>
      <c r="M2" s="7">
        <v>3</v>
      </c>
      <c r="O2" s="7">
        <v>4</v>
      </c>
      <c r="Q2" s="7">
        <v>5</v>
      </c>
      <c r="S2" s="7">
        <v>6</v>
      </c>
      <c r="U2" s="7">
        <v>7</v>
      </c>
      <c r="W2" s="7">
        <v>8</v>
      </c>
      <c r="Y2" s="7">
        <v>9</v>
      </c>
      <c r="AA2" s="7">
        <v>10</v>
      </c>
      <c r="AC2" s="7">
        <v>11</v>
      </c>
      <c r="AE2" s="7">
        <v>12</v>
      </c>
      <c r="AG2" s="7">
        <v>13</v>
      </c>
      <c r="AI2" s="7">
        <v>14</v>
      </c>
      <c r="AK2" s="7">
        <v>15</v>
      </c>
      <c r="AM2" s="7">
        <v>16</v>
      </c>
      <c r="AO2" s="7">
        <v>17</v>
      </c>
      <c r="AQ2" s="7">
        <v>18</v>
      </c>
      <c r="AS2" s="7">
        <v>19</v>
      </c>
      <c r="AU2" s="7">
        <v>20</v>
      </c>
      <c r="AW2" s="7">
        <v>21</v>
      </c>
      <c r="AY2" s="7">
        <v>22</v>
      </c>
      <c r="BA2" s="7">
        <v>23</v>
      </c>
      <c r="BC2" s="7" t="s">
        <v>517</v>
      </c>
    </row>
    <row r="3" spans="1:55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Manifold_Manifold_Module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Others (Combined)</v>
      </c>
      <c r="C3" s="2" t="str">
        <f ca="1">MID(CELL("filename",A1),FIND("]",CELL("filename",A1))+1,255)</f>
        <v>SUT1R</v>
      </c>
      <c r="D3" s="2" t="s">
        <v>522</v>
      </c>
      <c r="E3" s="1" t="s">
        <v>517</v>
      </c>
      <c r="G3" t="s">
        <v>35</v>
      </c>
      <c r="H3" s="2" t="s">
        <v>3</v>
      </c>
      <c r="I3" s="1" t="str">
        <f t="shared" ref="I3:I38" si="0">I$2&amp;"-"&amp;$G3</f>
        <v>1-LFMETH</v>
      </c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 t="str">
        <f t="shared" ref="AB3:AB12" si="1">$H3</f>
        <v>Static Chemical Core</v>
      </c>
      <c r="AC3" s="1" t="str">
        <f t="shared" ref="AC3:AC12" si="2">AC$2&amp;"-"&amp;$G3</f>
        <v>11-LFMETH</v>
      </c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</row>
    <row r="4" spans="1:55" x14ac:dyDescent="0.25">
      <c r="D4" s="2" t="s">
        <v>521</v>
      </c>
      <c r="E4" s="1" t="s">
        <v>523</v>
      </c>
      <c r="G4" t="s">
        <v>264</v>
      </c>
      <c r="H4" s="2" t="s">
        <v>3</v>
      </c>
      <c r="I4" s="1" t="str">
        <f t="shared" si="0"/>
        <v>1-SPAREMETH</v>
      </c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 t="str">
        <f t="shared" si="1"/>
        <v>Static Chemical Core</v>
      </c>
      <c r="AC4" s="1" t="str">
        <f t="shared" si="2"/>
        <v>11-SPAREMETH</v>
      </c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</row>
    <row r="5" spans="1:55" x14ac:dyDescent="0.25">
      <c r="D5" s="2" t="s">
        <v>62</v>
      </c>
      <c r="E5" s="1" t="s">
        <v>519</v>
      </c>
      <c r="G5" t="s">
        <v>254</v>
      </c>
      <c r="H5" s="2" t="s">
        <v>3</v>
      </c>
      <c r="I5" s="1" t="str">
        <f t="shared" si="0"/>
        <v>1-SPARECISI</v>
      </c>
      <c r="J5" s="2"/>
      <c r="K5" s="1"/>
      <c r="L5" s="2"/>
      <c r="M5" s="1"/>
      <c r="N5" s="2"/>
      <c r="O5" s="1"/>
      <c r="P5" s="2"/>
      <c r="Q5" s="1"/>
      <c r="R5" s="2"/>
      <c r="S5" s="1"/>
      <c r="T5" s="2"/>
      <c r="U5" s="1"/>
      <c r="V5" s="2"/>
      <c r="W5" s="1"/>
      <c r="X5" s="2"/>
      <c r="Y5" s="1"/>
      <c r="Z5" s="2"/>
      <c r="AA5" s="1"/>
      <c r="AB5" s="2" t="str">
        <f t="shared" si="1"/>
        <v>Static Chemical Core</v>
      </c>
      <c r="AC5" s="1" t="str">
        <f t="shared" si="2"/>
        <v>11-SPARECISI</v>
      </c>
      <c r="AD5" s="2"/>
      <c r="AE5" s="1"/>
      <c r="AF5" s="2"/>
      <c r="AG5" s="1"/>
      <c r="AH5" s="2"/>
      <c r="AI5" s="1"/>
      <c r="AJ5" s="2"/>
      <c r="AK5" s="1"/>
      <c r="AL5" s="2"/>
      <c r="AM5" s="1"/>
      <c r="AN5" s="2"/>
      <c r="AO5" s="1"/>
      <c r="AP5" s="2"/>
      <c r="AQ5" s="1"/>
      <c r="AR5" s="2"/>
      <c r="AS5" s="1"/>
      <c r="AT5" s="2"/>
      <c r="AU5" s="1"/>
      <c r="AV5" s="2"/>
      <c r="AW5" s="1"/>
      <c r="AX5" s="2"/>
      <c r="AY5" s="1"/>
      <c r="AZ5" s="2"/>
      <c r="BA5" s="1"/>
      <c r="BB5" s="2"/>
      <c r="BC5" s="1"/>
    </row>
    <row r="6" spans="1:55" x14ac:dyDescent="0.25">
      <c r="D6" s="2" t="s">
        <v>62</v>
      </c>
      <c r="E6" s="1" t="s">
        <v>520</v>
      </c>
      <c r="G6" t="s">
        <v>262</v>
      </c>
      <c r="H6" s="2" t="s">
        <v>3</v>
      </c>
      <c r="I6" s="1" t="str">
        <f t="shared" si="0"/>
        <v>1-HFMETH1</v>
      </c>
      <c r="J6" s="2"/>
      <c r="K6" s="1"/>
      <c r="L6" s="2"/>
      <c r="M6" s="1"/>
      <c r="N6" s="2"/>
      <c r="O6" s="1"/>
      <c r="P6" s="2"/>
      <c r="Q6" s="1"/>
      <c r="R6" s="2"/>
      <c r="S6" s="1"/>
      <c r="T6" s="2"/>
      <c r="U6" s="1"/>
      <c r="V6" s="2"/>
      <c r="W6" s="1"/>
      <c r="X6" s="2"/>
      <c r="Y6" s="1"/>
      <c r="Z6" s="2"/>
      <c r="AA6" s="1"/>
      <c r="AB6" s="2" t="str">
        <f t="shared" si="1"/>
        <v>Static Chemical Core</v>
      </c>
      <c r="AC6" s="1" t="str">
        <f t="shared" si="2"/>
        <v>11-HFMETH1</v>
      </c>
      <c r="AD6" s="2"/>
      <c r="AE6" s="1"/>
      <c r="AF6" s="2"/>
      <c r="AG6" s="1"/>
      <c r="AH6" s="2"/>
      <c r="AI6" s="1"/>
      <c r="AJ6" s="2"/>
      <c r="AK6" s="1"/>
      <c r="AL6" s="2"/>
      <c r="AM6" s="1"/>
      <c r="AN6" s="2"/>
      <c r="AO6" s="1"/>
      <c r="AP6" s="2"/>
      <c r="AQ6" s="1"/>
      <c r="AR6" s="2"/>
      <c r="AS6" s="1"/>
      <c r="AT6" s="2"/>
      <c r="AU6" s="1"/>
      <c r="AV6" s="2"/>
      <c r="AW6" s="1"/>
      <c r="AX6" s="2"/>
      <c r="AY6" s="1"/>
      <c r="AZ6" s="2"/>
      <c r="BA6" s="1"/>
      <c r="BB6" s="2"/>
      <c r="BC6" s="1"/>
    </row>
    <row r="7" spans="1:55" x14ac:dyDescent="0.25">
      <c r="D7" s="2" t="s">
        <v>279</v>
      </c>
      <c r="G7" t="s">
        <v>260</v>
      </c>
      <c r="H7" s="2" t="s">
        <v>3</v>
      </c>
      <c r="I7" s="1" t="str">
        <f t="shared" si="0"/>
        <v>1-HFMETH2</v>
      </c>
      <c r="J7" s="2"/>
      <c r="K7" s="1"/>
      <c r="L7" s="2"/>
      <c r="M7" s="1"/>
      <c r="N7" s="2"/>
      <c r="O7" s="1"/>
      <c r="P7" s="2"/>
      <c r="Q7" s="1"/>
      <c r="R7" s="2"/>
      <c r="S7" s="1"/>
      <c r="T7" s="2"/>
      <c r="U7" s="1"/>
      <c r="V7" s="2"/>
      <c r="W7" s="1"/>
      <c r="X7" s="2"/>
      <c r="Y7" s="1"/>
      <c r="Z7" s="2"/>
      <c r="AA7" s="1"/>
      <c r="AB7" s="2" t="str">
        <f t="shared" si="1"/>
        <v>Static Chemical Core</v>
      </c>
      <c r="AC7" s="1" t="str">
        <f t="shared" si="2"/>
        <v>11-HFMETH2</v>
      </c>
      <c r="AD7" s="2"/>
      <c r="AE7" s="1"/>
      <c r="AF7" s="2"/>
      <c r="AG7" s="1"/>
      <c r="AH7" s="2"/>
      <c r="AI7" s="1"/>
      <c r="AJ7" s="2"/>
      <c r="AK7" s="1"/>
      <c r="AL7" s="2"/>
      <c r="AM7" s="1"/>
      <c r="AN7" s="2"/>
      <c r="AO7" s="1"/>
      <c r="AP7" s="2"/>
      <c r="AQ7" s="1"/>
      <c r="AR7" s="2"/>
      <c r="AS7" s="1"/>
      <c r="AT7" s="2"/>
      <c r="AU7" s="1"/>
      <c r="AV7" s="2"/>
      <c r="AW7" s="1"/>
      <c r="AX7" s="2"/>
      <c r="AY7" s="1"/>
      <c r="AZ7" s="2"/>
      <c r="BA7" s="1"/>
      <c r="BB7" s="2"/>
      <c r="BC7" s="1"/>
    </row>
    <row r="8" spans="1:55" x14ac:dyDescent="0.25">
      <c r="D8" s="2" t="s">
        <v>64</v>
      </c>
      <c r="G8" t="s">
        <v>29</v>
      </c>
      <c r="H8" s="2" t="s">
        <v>3</v>
      </c>
      <c r="I8" s="1" t="str">
        <f t="shared" si="0"/>
        <v>1-WAX</v>
      </c>
      <c r="J8" s="2"/>
      <c r="K8" s="1"/>
      <c r="L8" s="2"/>
      <c r="M8" s="1"/>
      <c r="N8" s="2"/>
      <c r="O8" s="1"/>
      <c r="P8" s="2"/>
      <c r="Q8" s="1"/>
      <c r="R8" s="2"/>
      <c r="S8" s="1"/>
      <c r="T8" s="2"/>
      <c r="U8" s="1"/>
      <c r="V8" s="2"/>
      <c r="W8" s="1"/>
      <c r="X8" s="2"/>
      <c r="Y8" s="1"/>
      <c r="Z8" s="2"/>
      <c r="AA8" s="1"/>
      <c r="AB8" s="2" t="str">
        <f t="shared" si="1"/>
        <v>Static Chemical Core</v>
      </c>
      <c r="AC8" s="1" t="str">
        <f t="shared" si="2"/>
        <v>11-WAX</v>
      </c>
      <c r="AD8" s="2"/>
      <c r="AE8" s="1"/>
      <c r="AF8" s="2"/>
      <c r="AG8" s="1"/>
      <c r="AH8" s="2"/>
      <c r="AI8" s="1"/>
      <c r="AJ8" s="2"/>
      <c r="AK8" s="1"/>
      <c r="AL8" s="2"/>
      <c r="AM8" s="1"/>
      <c r="AN8" s="2"/>
      <c r="AO8" s="1"/>
      <c r="AP8" s="2"/>
      <c r="AQ8" s="1"/>
      <c r="AR8" s="2"/>
      <c r="AS8" s="1"/>
      <c r="AT8" s="2"/>
      <c r="AU8" s="1"/>
      <c r="AV8" s="2"/>
      <c r="AW8" s="1"/>
      <c r="AX8" s="2"/>
      <c r="AY8" s="1"/>
      <c r="AZ8" s="2"/>
      <c r="BA8" s="1"/>
      <c r="BB8" s="2"/>
      <c r="BC8" s="1"/>
    </row>
    <row r="9" spans="1:55" x14ac:dyDescent="0.25">
      <c r="D9" s="2" t="s">
        <v>1</v>
      </c>
      <c r="E9" s="1" t="s">
        <v>515</v>
      </c>
      <c r="G9" t="s">
        <v>255</v>
      </c>
      <c r="H9" s="2" t="s">
        <v>3</v>
      </c>
      <c r="I9" s="1" t="str">
        <f t="shared" si="0"/>
        <v>1-SPAREWAX</v>
      </c>
      <c r="J9" s="2"/>
      <c r="K9" s="1"/>
      <c r="L9" s="2"/>
      <c r="M9" s="1"/>
      <c r="N9" s="2"/>
      <c r="O9" s="1"/>
      <c r="P9" s="2"/>
      <c r="Q9" s="1"/>
      <c r="R9" s="2"/>
      <c r="S9" s="1"/>
      <c r="T9" s="2"/>
      <c r="U9" s="1"/>
      <c r="V9" s="2"/>
      <c r="W9" s="1"/>
      <c r="X9" s="2"/>
      <c r="Y9" s="1"/>
      <c r="Z9" s="2"/>
      <c r="AA9" s="1"/>
      <c r="AB9" s="2" t="str">
        <f t="shared" si="1"/>
        <v>Static Chemical Core</v>
      </c>
      <c r="AC9" s="1" t="str">
        <f t="shared" si="2"/>
        <v>11-SPAREWAX</v>
      </c>
      <c r="AD9" s="2"/>
      <c r="AE9" s="1"/>
      <c r="AF9" s="2"/>
      <c r="AG9" s="1"/>
      <c r="AH9" s="2"/>
      <c r="AI9" s="1"/>
      <c r="AJ9" s="2"/>
      <c r="AK9" s="1"/>
      <c r="AL9" s="2"/>
      <c r="AM9" s="1"/>
      <c r="AN9" s="2"/>
      <c r="AO9" s="1"/>
      <c r="AP9" s="2"/>
      <c r="AQ9" s="1"/>
      <c r="AR9" s="2"/>
      <c r="AS9" s="1"/>
      <c r="AT9" s="2"/>
      <c r="AU9" s="1"/>
      <c r="AV9" s="2"/>
      <c r="AW9" s="1"/>
      <c r="AX9" s="2"/>
      <c r="AY9" s="1"/>
      <c r="AZ9" s="2"/>
      <c r="BA9" s="1"/>
      <c r="BB9" s="2"/>
      <c r="BC9" s="1"/>
    </row>
    <row r="10" spans="1:55" x14ac:dyDescent="0.25">
      <c r="D10" s="2" t="s">
        <v>1</v>
      </c>
      <c r="E10" s="1" t="s">
        <v>514</v>
      </c>
      <c r="G10" t="s">
        <v>33</v>
      </c>
      <c r="H10" s="2" t="s">
        <v>3</v>
      </c>
      <c r="I10" s="1" t="str">
        <f t="shared" si="0"/>
        <v>1-CISI</v>
      </c>
      <c r="J10" s="2"/>
      <c r="K10" s="1"/>
      <c r="L10" s="2"/>
      <c r="M10" s="1"/>
      <c r="N10" s="2"/>
      <c r="O10" s="1"/>
      <c r="P10" s="2"/>
      <c r="Q10" s="1"/>
      <c r="R10" s="2"/>
      <c r="S10" s="1"/>
      <c r="T10" s="2"/>
      <c r="U10" s="1"/>
      <c r="V10" s="2"/>
      <c r="W10" s="1"/>
      <c r="X10" s="2"/>
      <c r="Y10" s="1"/>
      <c r="Z10" s="2"/>
      <c r="AA10" s="1"/>
      <c r="AB10" s="2" t="str">
        <f t="shared" si="1"/>
        <v>Static Chemical Core</v>
      </c>
      <c r="AC10" s="1" t="str">
        <f t="shared" si="2"/>
        <v>11-CISI</v>
      </c>
      <c r="AD10" s="2"/>
      <c r="AE10" s="1"/>
      <c r="AF10" s="2"/>
      <c r="AG10" s="1"/>
      <c r="AH10" s="2"/>
      <c r="AI10" s="1"/>
      <c r="AJ10" s="2"/>
      <c r="AK10" s="1"/>
      <c r="AL10" s="2"/>
      <c r="AM10" s="1"/>
      <c r="AN10" s="2"/>
      <c r="AO10" s="1"/>
      <c r="AP10" s="2"/>
      <c r="AQ10" s="1"/>
      <c r="AR10" s="2"/>
      <c r="AS10" s="1"/>
      <c r="AT10" s="2"/>
      <c r="AU10" s="1"/>
      <c r="AV10" s="2"/>
      <c r="AW10" s="1"/>
      <c r="AX10" s="2"/>
      <c r="AY10" s="1"/>
      <c r="AZ10" s="2"/>
      <c r="BA10" s="1"/>
      <c r="BB10" s="2"/>
      <c r="BC10" s="1"/>
    </row>
    <row r="11" spans="1:55" x14ac:dyDescent="0.25">
      <c r="D11" s="2" t="s">
        <v>1</v>
      </c>
      <c r="E11" s="1" t="s">
        <v>513</v>
      </c>
      <c r="G11" t="s">
        <v>258</v>
      </c>
      <c r="H11" s="2" t="s">
        <v>3</v>
      </c>
      <c r="I11" s="1" t="str">
        <f t="shared" si="0"/>
        <v>1-SPARE1</v>
      </c>
      <c r="J11" s="2"/>
      <c r="K11" s="1"/>
      <c r="L11" s="2"/>
      <c r="M11" s="1"/>
      <c r="N11" s="2"/>
      <c r="O11" s="1"/>
      <c r="P11" s="2"/>
      <c r="Q11" s="1"/>
      <c r="R11" s="2"/>
      <c r="S11" s="1"/>
      <c r="T11" s="2"/>
      <c r="U11" s="1"/>
      <c r="V11" s="2"/>
      <c r="W11" s="1"/>
      <c r="X11" s="2"/>
      <c r="Y11" s="1"/>
      <c r="Z11" s="2"/>
      <c r="AA11" s="1"/>
      <c r="AB11" s="2" t="str">
        <f t="shared" si="1"/>
        <v>Static Chemical Core</v>
      </c>
      <c r="AC11" s="1" t="str">
        <f t="shared" si="2"/>
        <v>11-SPARE1</v>
      </c>
      <c r="AD11" s="2"/>
      <c r="AE11" s="1"/>
      <c r="AF11" s="2"/>
      <c r="AG11" s="1"/>
      <c r="AH11" s="2"/>
      <c r="AI11" s="1"/>
      <c r="AJ11" s="2"/>
      <c r="AK11" s="1"/>
      <c r="AL11" s="2"/>
      <c r="AM11" s="1"/>
      <c r="AN11" s="2"/>
      <c r="AO11" s="1"/>
      <c r="AP11" s="2"/>
      <c r="AQ11" s="1"/>
      <c r="AR11" s="2"/>
      <c r="AS11" s="1"/>
      <c r="AT11" s="2"/>
      <c r="AU11" s="1"/>
      <c r="AV11" s="2"/>
      <c r="AW11" s="1"/>
      <c r="AX11" s="2"/>
      <c r="AY11" s="1"/>
      <c r="AZ11" s="2"/>
      <c r="BA11" s="1"/>
      <c r="BB11" s="2"/>
      <c r="BC11" s="1"/>
    </row>
    <row r="12" spans="1:55" x14ac:dyDescent="0.25">
      <c r="D12" s="2" t="s">
        <v>1</v>
      </c>
      <c r="E12" s="1" t="s">
        <v>512</v>
      </c>
      <c r="G12" t="s">
        <v>253</v>
      </c>
      <c r="H12" s="2" t="s">
        <v>3</v>
      </c>
      <c r="I12" s="1" t="str">
        <f t="shared" si="0"/>
        <v>1-SPARE2</v>
      </c>
      <c r="J12" s="2"/>
      <c r="K12" s="1"/>
      <c r="L12" s="2"/>
      <c r="M12" s="1"/>
      <c r="N12" s="2"/>
      <c r="O12" s="1"/>
      <c r="P12" s="2"/>
      <c r="Q12" s="1"/>
      <c r="R12" s="2"/>
      <c r="S12" s="1"/>
      <c r="T12" s="2"/>
      <c r="U12" s="1"/>
      <c r="V12" s="2"/>
      <c r="W12" s="1"/>
      <c r="X12" s="2"/>
      <c r="Y12" s="1"/>
      <c r="Z12" s="2"/>
      <c r="AA12" s="1"/>
      <c r="AB12" s="2" t="str">
        <f t="shared" si="1"/>
        <v>Static Chemical Core</v>
      </c>
      <c r="AC12" s="1" t="str">
        <f t="shared" si="2"/>
        <v>11-SPARE2</v>
      </c>
      <c r="AD12" s="2"/>
      <c r="AE12" s="1"/>
      <c r="AF12" s="2"/>
      <c r="AG12" s="1"/>
      <c r="AH12" s="2"/>
      <c r="AI12" s="1"/>
      <c r="AJ12" s="2"/>
      <c r="AK12" s="1"/>
      <c r="AL12" s="2"/>
      <c r="AM12" s="1"/>
      <c r="AN12" s="2"/>
      <c r="AO12" s="1"/>
      <c r="AP12" s="2"/>
      <c r="AQ12" s="1"/>
      <c r="AR12" s="2"/>
      <c r="AS12" s="1"/>
      <c r="AT12" s="2"/>
      <c r="AU12" s="1"/>
      <c r="AV12" s="2"/>
      <c r="AW12" s="1"/>
      <c r="AX12" s="2"/>
      <c r="AY12" s="1"/>
      <c r="AZ12" s="2"/>
      <c r="BA12" s="1"/>
      <c r="BB12" s="2"/>
      <c r="BC12" s="1"/>
    </row>
    <row r="13" spans="1:55" x14ac:dyDescent="0.25">
      <c r="D13" s="2" t="s">
        <v>5</v>
      </c>
      <c r="E13" s="1" t="s">
        <v>351</v>
      </c>
      <c r="G13" t="s">
        <v>36</v>
      </c>
      <c r="H13" s="2" t="s">
        <v>0</v>
      </c>
      <c r="I13" s="1" t="str">
        <f t="shared" si="0"/>
        <v>1-HPA</v>
      </c>
      <c r="J13" s="2" t="str">
        <f t="shared" ref="J13:J24" si="3">$H13</f>
        <v>Static Hydraulic Core</v>
      </c>
      <c r="K13" s="1" t="str">
        <f t="shared" ref="K13:K24" si="4">K$2&amp;"-"&amp;$G13</f>
        <v>2-HPA</v>
      </c>
      <c r="L13" s="2" t="str">
        <f t="shared" ref="L13:L24" si="5">$H13</f>
        <v>Static Hydraulic Core</v>
      </c>
      <c r="M13" s="1" t="str">
        <f t="shared" ref="M13:M24" si="6">M$2&amp;"-"&amp;$G13</f>
        <v>3-HPA</v>
      </c>
      <c r="N13" s="2" t="str">
        <f t="shared" ref="N13:N24" si="7">$H13</f>
        <v>Static Hydraulic Core</v>
      </c>
      <c r="O13" s="1" t="str">
        <f t="shared" ref="O13:O24" si="8">O$2&amp;"-"&amp;$G13</f>
        <v>4-HPA</v>
      </c>
      <c r="P13" s="2" t="str">
        <f t="shared" ref="P13:P24" si="9">$H13</f>
        <v>Static Hydraulic Core</v>
      </c>
      <c r="Q13" s="1" t="str">
        <f t="shared" ref="Q13:Q24" si="10">Q$2&amp;"-"&amp;$G13</f>
        <v>5-HPA</v>
      </c>
      <c r="R13" s="2" t="str">
        <f t="shared" ref="R13:R24" si="11">$H13</f>
        <v>Static Hydraulic Core</v>
      </c>
      <c r="S13" s="1" t="str">
        <f t="shared" ref="S13:S24" si="12">S$2&amp;"-"&amp;$G13</f>
        <v>6-HPA</v>
      </c>
      <c r="T13" s="2" t="str">
        <f t="shared" ref="T13:T24" si="13">$H13</f>
        <v>Static Hydraulic Core</v>
      </c>
      <c r="U13" s="1" t="str">
        <f t="shared" ref="U13:U24" si="14">U$2&amp;"-"&amp;$G13</f>
        <v>7-HPA</v>
      </c>
      <c r="V13" s="2" t="str">
        <f t="shared" ref="V13:V24" si="15">$H13</f>
        <v>Static Hydraulic Core</v>
      </c>
      <c r="W13" s="1" t="str">
        <f t="shared" ref="W13:W24" si="16">W$2&amp;"-"&amp;$G13</f>
        <v>8-HPA</v>
      </c>
      <c r="X13" s="2" t="str">
        <f t="shared" ref="X13:X24" si="17">$H13</f>
        <v>Static Hydraulic Core</v>
      </c>
      <c r="Y13" s="1" t="str">
        <f t="shared" ref="Y13:Y24" si="18">Y$2&amp;"-"&amp;$G13</f>
        <v>9-HPA</v>
      </c>
      <c r="Z13" s="2" t="str">
        <f t="shared" ref="Z13:Z24" si="19">$H13</f>
        <v>Static Hydraulic Core</v>
      </c>
      <c r="AA13" s="1" t="str">
        <f t="shared" ref="AA13:AA24" si="20">AA$2&amp;"-"&amp;$G13</f>
        <v>10-HPA</v>
      </c>
      <c r="AB13" s="2"/>
      <c r="AC13" s="1"/>
      <c r="AD13" s="2"/>
      <c r="AE13" s="1"/>
      <c r="AF13" s="2" t="str">
        <f t="shared" ref="AF13:AF24" si="21">$H13</f>
        <v>Static Hydraulic Core</v>
      </c>
      <c r="AG13" s="1" t="str">
        <f t="shared" ref="AG13:AG24" si="22">AG$2&amp;"-"&amp;$G13</f>
        <v>13-HPA</v>
      </c>
      <c r="AH13" s="2" t="str">
        <f t="shared" ref="AH13:AH24" si="23">$H13</f>
        <v>Static Hydraulic Core</v>
      </c>
      <c r="AI13" s="1" t="str">
        <f t="shared" ref="AI13:AI24" si="24">AI$2&amp;"-"&amp;$G13</f>
        <v>14-HPA</v>
      </c>
      <c r="AJ13" s="2" t="str">
        <f t="shared" ref="AJ13:AJ24" si="25">$H13</f>
        <v>Static Hydraulic Core</v>
      </c>
      <c r="AK13" s="1" t="str">
        <f t="shared" ref="AK13:AK24" si="26">AK$2&amp;"-"&amp;$G13</f>
        <v>15-HPA</v>
      </c>
      <c r="AL13" s="2" t="str">
        <f t="shared" ref="AL13:AL24" si="27">$H13</f>
        <v>Static Hydraulic Core</v>
      </c>
      <c r="AM13" s="1" t="str">
        <f t="shared" ref="AM13:AM24" si="28">AM$2&amp;"-"&amp;$G13</f>
        <v>16-HPA</v>
      </c>
      <c r="AN13" s="2" t="str">
        <f t="shared" ref="AN13:AN24" si="29">$H13</f>
        <v>Static Hydraulic Core</v>
      </c>
      <c r="AO13" s="1" t="str">
        <f t="shared" ref="AO13:AO24" si="30">AO$2&amp;"-"&amp;$G13</f>
        <v>17-HPA</v>
      </c>
      <c r="AP13" s="2"/>
      <c r="AQ13" s="1"/>
      <c r="AR13" s="2"/>
      <c r="AS13" s="1"/>
      <c r="AT13" s="2"/>
      <c r="AU13" s="1"/>
      <c r="AV13" s="2"/>
      <c r="AW13" s="1"/>
      <c r="AX13" s="2" t="str">
        <f t="shared" ref="AX13:AX24" si="31">$H13</f>
        <v>Static Hydraulic Core</v>
      </c>
      <c r="AY13" s="1" t="str">
        <f t="shared" ref="AY13:AY24" si="32">AY$2&amp;"-"&amp;$G13</f>
        <v>22-HPA</v>
      </c>
      <c r="AZ13" s="2" t="str">
        <f t="shared" ref="AZ13:AZ24" si="33">$H13</f>
        <v>Static Hydraulic Core</v>
      </c>
      <c r="BA13" s="1" t="str">
        <f t="shared" ref="BA13:BA24" si="34">BA$2&amp;"-"&amp;$G13</f>
        <v>23-HPA</v>
      </c>
      <c r="BB13" s="2" t="str">
        <f t="shared" ref="BB13:BB24" si="35">$H13</f>
        <v>Static Hydraulic Core</v>
      </c>
      <c r="BC13" s="1" t="str">
        <f t="shared" ref="BC13:BC24" si="36">BC$2&amp;"-"&amp;$G13</f>
        <v>SCM-HPA</v>
      </c>
    </row>
    <row r="14" spans="1:55" x14ac:dyDescent="0.25">
      <c r="D14" s="2" t="s">
        <v>5</v>
      </c>
      <c r="E14" s="1" t="s">
        <v>350</v>
      </c>
      <c r="G14" t="s">
        <v>34</v>
      </c>
      <c r="H14" s="2" t="s">
        <v>0</v>
      </c>
      <c r="I14" s="1" t="str">
        <f t="shared" si="0"/>
        <v>1-HPB</v>
      </c>
      <c r="J14" s="2" t="str">
        <f t="shared" si="3"/>
        <v>Static Hydraulic Core</v>
      </c>
      <c r="K14" s="1" t="str">
        <f t="shared" si="4"/>
        <v>2-HPB</v>
      </c>
      <c r="L14" s="2" t="str">
        <f t="shared" si="5"/>
        <v>Static Hydraulic Core</v>
      </c>
      <c r="M14" s="1" t="str">
        <f t="shared" si="6"/>
        <v>3-HPB</v>
      </c>
      <c r="N14" s="2" t="str">
        <f t="shared" si="7"/>
        <v>Static Hydraulic Core</v>
      </c>
      <c r="O14" s="1" t="str">
        <f t="shared" si="8"/>
        <v>4-HPB</v>
      </c>
      <c r="P14" s="2" t="str">
        <f t="shared" si="9"/>
        <v>Static Hydraulic Core</v>
      </c>
      <c r="Q14" s="1" t="str">
        <f t="shared" si="10"/>
        <v>5-HPB</v>
      </c>
      <c r="R14" s="2" t="str">
        <f t="shared" si="11"/>
        <v>Static Hydraulic Core</v>
      </c>
      <c r="S14" s="1" t="str">
        <f t="shared" si="12"/>
        <v>6-HPB</v>
      </c>
      <c r="T14" s="2" t="str">
        <f t="shared" si="13"/>
        <v>Static Hydraulic Core</v>
      </c>
      <c r="U14" s="1" t="str">
        <f t="shared" si="14"/>
        <v>7-HPB</v>
      </c>
      <c r="V14" s="2" t="str">
        <f t="shared" si="15"/>
        <v>Static Hydraulic Core</v>
      </c>
      <c r="W14" s="1" t="str">
        <f t="shared" si="16"/>
        <v>8-HPB</v>
      </c>
      <c r="X14" s="2" t="str">
        <f t="shared" si="17"/>
        <v>Static Hydraulic Core</v>
      </c>
      <c r="Y14" s="1" t="str">
        <f t="shared" si="18"/>
        <v>9-HPB</v>
      </c>
      <c r="Z14" s="2" t="str">
        <f t="shared" si="19"/>
        <v>Static Hydraulic Core</v>
      </c>
      <c r="AA14" s="1" t="str">
        <f t="shared" si="20"/>
        <v>10-HPB</v>
      </c>
      <c r="AB14" s="2"/>
      <c r="AC14" s="1"/>
      <c r="AD14" s="2"/>
      <c r="AE14" s="1"/>
      <c r="AF14" s="2" t="str">
        <f t="shared" si="21"/>
        <v>Static Hydraulic Core</v>
      </c>
      <c r="AG14" s="1" t="str">
        <f t="shared" si="22"/>
        <v>13-HPB</v>
      </c>
      <c r="AH14" s="2" t="str">
        <f t="shared" si="23"/>
        <v>Static Hydraulic Core</v>
      </c>
      <c r="AI14" s="1" t="str">
        <f t="shared" si="24"/>
        <v>14-HPB</v>
      </c>
      <c r="AJ14" s="2" t="str">
        <f t="shared" si="25"/>
        <v>Static Hydraulic Core</v>
      </c>
      <c r="AK14" s="1" t="str">
        <f t="shared" si="26"/>
        <v>15-HPB</v>
      </c>
      <c r="AL14" s="2" t="str">
        <f t="shared" si="27"/>
        <v>Static Hydraulic Core</v>
      </c>
      <c r="AM14" s="1" t="str">
        <f t="shared" si="28"/>
        <v>16-HPB</v>
      </c>
      <c r="AN14" s="2" t="str">
        <f t="shared" si="29"/>
        <v>Static Hydraulic Core</v>
      </c>
      <c r="AO14" s="1" t="str">
        <f t="shared" si="30"/>
        <v>17-HPB</v>
      </c>
      <c r="AP14" s="2"/>
      <c r="AQ14" s="1"/>
      <c r="AR14" s="2"/>
      <c r="AS14" s="1"/>
      <c r="AT14" s="2"/>
      <c r="AU14" s="1"/>
      <c r="AV14" s="2"/>
      <c r="AW14" s="1"/>
      <c r="AX14" s="2" t="str">
        <f t="shared" si="31"/>
        <v>Static Hydraulic Core</v>
      </c>
      <c r="AY14" s="1" t="str">
        <f t="shared" si="32"/>
        <v>22-HPB</v>
      </c>
      <c r="AZ14" s="2" t="str">
        <f t="shared" si="33"/>
        <v>Static Hydraulic Core</v>
      </c>
      <c r="BA14" s="1" t="str">
        <f t="shared" si="34"/>
        <v>23-HPB</v>
      </c>
      <c r="BB14" s="2" t="str">
        <f t="shared" si="35"/>
        <v>Static Hydraulic Core</v>
      </c>
      <c r="BC14" s="1" t="str">
        <f t="shared" si="36"/>
        <v>SCM-HPB</v>
      </c>
    </row>
    <row r="15" spans="1:55" x14ac:dyDescent="0.25">
      <c r="D15" s="2" t="s">
        <v>5</v>
      </c>
      <c r="E15" s="1" t="s">
        <v>511</v>
      </c>
      <c r="G15" t="s">
        <v>32</v>
      </c>
      <c r="H15" s="2" t="s">
        <v>0</v>
      </c>
      <c r="I15" s="1" t="str">
        <f t="shared" si="0"/>
        <v>1-LPA</v>
      </c>
      <c r="J15" s="2" t="str">
        <f t="shared" si="3"/>
        <v>Static Hydraulic Core</v>
      </c>
      <c r="K15" s="1" t="str">
        <f t="shared" si="4"/>
        <v>2-LPA</v>
      </c>
      <c r="L15" s="2" t="str">
        <f t="shared" si="5"/>
        <v>Static Hydraulic Core</v>
      </c>
      <c r="M15" s="1" t="str">
        <f t="shared" si="6"/>
        <v>3-LPA</v>
      </c>
      <c r="N15" s="2" t="str">
        <f t="shared" si="7"/>
        <v>Static Hydraulic Core</v>
      </c>
      <c r="O15" s="1" t="str">
        <f t="shared" si="8"/>
        <v>4-LPA</v>
      </c>
      <c r="P15" s="2" t="str">
        <f t="shared" si="9"/>
        <v>Static Hydraulic Core</v>
      </c>
      <c r="Q15" s="1" t="str">
        <f t="shared" si="10"/>
        <v>5-LPA</v>
      </c>
      <c r="R15" s="2" t="str">
        <f t="shared" si="11"/>
        <v>Static Hydraulic Core</v>
      </c>
      <c r="S15" s="1" t="str">
        <f t="shared" si="12"/>
        <v>6-LPA</v>
      </c>
      <c r="T15" s="2" t="str">
        <f t="shared" si="13"/>
        <v>Static Hydraulic Core</v>
      </c>
      <c r="U15" s="1" t="str">
        <f t="shared" si="14"/>
        <v>7-LPA</v>
      </c>
      <c r="V15" s="2" t="str">
        <f t="shared" si="15"/>
        <v>Static Hydraulic Core</v>
      </c>
      <c r="W15" s="1" t="str">
        <f t="shared" si="16"/>
        <v>8-LPA</v>
      </c>
      <c r="X15" s="2" t="str">
        <f t="shared" si="17"/>
        <v>Static Hydraulic Core</v>
      </c>
      <c r="Y15" s="1" t="str">
        <f t="shared" si="18"/>
        <v>9-LPA</v>
      </c>
      <c r="Z15" s="2" t="str">
        <f t="shared" si="19"/>
        <v>Static Hydraulic Core</v>
      </c>
      <c r="AA15" s="1" t="str">
        <f t="shared" si="20"/>
        <v>10-LPA</v>
      </c>
      <c r="AB15" s="2"/>
      <c r="AC15" s="1"/>
      <c r="AD15" s="2"/>
      <c r="AE15" s="1"/>
      <c r="AF15" s="2" t="str">
        <f t="shared" si="21"/>
        <v>Static Hydraulic Core</v>
      </c>
      <c r="AG15" s="1" t="str">
        <f t="shared" si="22"/>
        <v>13-LPA</v>
      </c>
      <c r="AH15" s="2" t="str">
        <f t="shared" si="23"/>
        <v>Static Hydraulic Core</v>
      </c>
      <c r="AI15" s="1" t="str">
        <f t="shared" si="24"/>
        <v>14-LPA</v>
      </c>
      <c r="AJ15" s="2" t="str">
        <f t="shared" si="25"/>
        <v>Static Hydraulic Core</v>
      </c>
      <c r="AK15" s="1" t="str">
        <f t="shared" si="26"/>
        <v>15-LPA</v>
      </c>
      <c r="AL15" s="2" t="str">
        <f t="shared" si="27"/>
        <v>Static Hydraulic Core</v>
      </c>
      <c r="AM15" s="1" t="str">
        <f t="shared" si="28"/>
        <v>16-LPA</v>
      </c>
      <c r="AN15" s="2" t="str">
        <f t="shared" si="29"/>
        <v>Static Hydraulic Core</v>
      </c>
      <c r="AO15" s="1" t="str">
        <f t="shared" si="30"/>
        <v>17-LPA</v>
      </c>
      <c r="AP15" s="2"/>
      <c r="AQ15" s="1"/>
      <c r="AR15" s="2"/>
      <c r="AS15" s="1"/>
      <c r="AT15" s="2"/>
      <c r="AU15" s="1"/>
      <c r="AV15" s="2"/>
      <c r="AW15" s="1"/>
      <c r="AX15" s="2" t="str">
        <f t="shared" si="31"/>
        <v>Static Hydraulic Core</v>
      </c>
      <c r="AY15" s="1" t="str">
        <f t="shared" si="32"/>
        <v>22-LPA</v>
      </c>
      <c r="AZ15" s="2" t="str">
        <f t="shared" si="33"/>
        <v>Static Hydraulic Core</v>
      </c>
      <c r="BA15" s="1" t="str">
        <f t="shared" si="34"/>
        <v>23-LPA</v>
      </c>
      <c r="BB15" s="2" t="str">
        <f t="shared" si="35"/>
        <v>Static Hydraulic Core</v>
      </c>
      <c r="BC15" s="1" t="str">
        <f t="shared" si="36"/>
        <v>SCM-LPA</v>
      </c>
    </row>
    <row r="16" spans="1:55" x14ac:dyDescent="0.25">
      <c r="D16" s="2" t="s">
        <v>5</v>
      </c>
      <c r="E16" s="1" t="s">
        <v>510</v>
      </c>
      <c r="G16" t="s">
        <v>30</v>
      </c>
      <c r="H16" s="2" t="s">
        <v>0</v>
      </c>
      <c r="I16" s="1" t="str">
        <f t="shared" si="0"/>
        <v>1-LPB</v>
      </c>
      <c r="J16" s="2" t="str">
        <f t="shared" si="3"/>
        <v>Static Hydraulic Core</v>
      </c>
      <c r="K16" s="1" t="str">
        <f t="shared" si="4"/>
        <v>2-LPB</v>
      </c>
      <c r="L16" s="2" t="str">
        <f t="shared" si="5"/>
        <v>Static Hydraulic Core</v>
      </c>
      <c r="M16" s="1" t="str">
        <f t="shared" si="6"/>
        <v>3-LPB</v>
      </c>
      <c r="N16" s="2" t="str">
        <f t="shared" si="7"/>
        <v>Static Hydraulic Core</v>
      </c>
      <c r="O16" s="1" t="str">
        <f t="shared" si="8"/>
        <v>4-LPB</v>
      </c>
      <c r="P16" s="2" t="str">
        <f t="shared" si="9"/>
        <v>Static Hydraulic Core</v>
      </c>
      <c r="Q16" s="1" t="str">
        <f t="shared" si="10"/>
        <v>5-LPB</v>
      </c>
      <c r="R16" s="2" t="str">
        <f t="shared" si="11"/>
        <v>Static Hydraulic Core</v>
      </c>
      <c r="S16" s="1" t="str">
        <f t="shared" si="12"/>
        <v>6-LPB</v>
      </c>
      <c r="T16" s="2" t="str">
        <f t="shared" si="13"/>
        <v>Static Hydraulic Core</v>
      </c>
      <c r="U16" s="1" t="str">
        <f t="shared" si="14"/>
        <v>7-LPB</v>
      </c>
      <c r="V16" s="2" t="str">
        <f t="shared" si="15"/>
        <v>Static Hydraulic Core</v>
      </c>
      <c r="W16" s="1" t="str">
        <f t="shared" si="16"/>
        <v>8-LPB</v>
      </c>
      <c r="X16" s="2" t="str">
        <f t="shared" si="17"/>
        <v>Static Hydraulic Core</v>
      </c>
      <c r="Y16" s="1" t="str">
        <f t="shared" si="18"/>
        <v>9-LPB</v>
      </c>
      <c r="Z16" s="2" t="str">
        <f t="shared" si="19"/>
        <v>Static Hydraulic Core</v>
      </c>
      <c r="AA16" s="1" t="str">
        <f t="shared" si="20"/>
        <v>10-LPB</v>
      </c>
      <c r="AB16" s="2"/>
      <c r="AC16" s="1"/>
      <c r="AD16" s="2"/>
      <c r="AE16" s="1"/>
      <c r="AF16" s="2" t="str">
        <f t="shared" si="21"/>
        <v>Static Hydraulic Core</v>
      </c>
      <c r="AG16" s="1" t="str">
        <f t="shared" si="22"/>
        <v>13-LPB</v>
      </c>
      <c r="AH16" s="2" t="str">
        <f t="shared" si="23"/>
        <v>Static Hydraulic Core</v>
      </c>
      <c r="AI16" s="1" t="str">
        <f t="shared" si="24"/>
        <v>14-LPB</v>
      </c>
      <c r="AJ16" s="2" t="str">
        <f t="shared" si="25"/>
        <v>Static Hydraulic Core</v>
      </c>
      <c r="AK16" s="1" t="str">
        <f t="shared" si="26"/>
        <v>15-LPB</v>
      </c>
      <c r="AL16" s="2" t="str">
        <f t="shared" si="27"/>
        <v>Static Hydraulic Core</v>
      </c>
      <c r="AM16" s="1" t="str">
        <f t="shared" si="28"/>
        <v>16-LPB</v>
      </c>
      <c r="AN16" s="2" t="str">
        <f t="shared" si="29"/>
        <v>Static Hydraulic Core</v>
      </c>
      <c r="AO16" s="1" t="str">
        <f t="shared" si="30"/>
        <v>17-LPB</v>
      </c>
      <c r="AP16" s="2"/>
      <c r="AQ16" s="1"/>
      <c r="AR16" s="2"/>
      <c r="AS16" s="1"/>
      <c r="AT16" s="2"/>
      <c r="AU16" s="1"/>
      <c r="AV16" s="2"/>
      <c r="AW16" s="1"/>
      <c r="AX16" s="2" t="str">
        <f t="shared" si="31"/>
        <v>Static Hydraulic Core</v>
      </c>
      <c r="AY16" s="1" t="str">
        <f t="shared" si="32"/>
        <v>22-LPB</v>
      </c>
      <c r="AZ16" s="2" t="str">
        <f t="shared" si="33"/>
        <v>Static Hydraulic Core</v>
      </c>
      <c r="BA16" s="1" t="str">
        <f t="shared" si="34"/>
        <v>23-LPB</v>
      </c>
      <c r="BB16" s="2" t="str">
        <f t="shared" si="35"/>
        <v>Static Hydraulic Core</v>
      </c>
      <c r="BC16" s="1" t="str">
        <f t="shared" si="36"/>
        <v>SCM-LPB</v>
      </c>
    </row>
    <row r="17" spans="4:55" x14ac:dyDescent="0.25">
      <c r="D17" s="2" t="s">
        <v>2</v>
      </c>
      <c r="E17" s="1" t="s">
        <v>507</v>
      </c>
      <c r="G17" t="s">
        <v>462</v>
      </c>
      <c r="H17" s="2" t="s">
        <v>6</v>
      </c>
      <c r="I17" s="1" t="str">
        <f t="shared" si="0"/>
        <v>1-PA</v>
      </c>
      <c r="J17" s="2" t="str">
        <f t="shared" si="3"/>
        <v>Static Electric Core</v>
      </c>
      <c r="K17" s="1" t="str">
        <f t="shared" si="4"/>
        <v>2-PA</v>
      </c>
      <c r="L17" s="2" t="str">
        <f t="shared" si="5"/>
        <v>Static Electric Core</v>
      </c>
      <c r="M17" s="1" t="str">
        <f t="shared" si="6"/>
        <v>3-PA</v>
      </c>
      <c r="N17" s="2" t="str">
        <f t="shared" si="7"/>
        <v>Static Electric Core</v>
      </c>
      <c r="O17" s="1" t="str">
        <f t="shared" si="8"/>
        <v>4-PA</v>
      </c>
      <c r="P17" s="2" t="str">
        <f t="shared" si="9"/>
        <v>Static Electric Core</v>
      </c>
      <c r="Q17" s="1" t="str">
        <f t="shared" si="10"/>
        <v>5-PA</v>
      </c>
      <c r="R17" s="2" t="str">
        <f t="shared" si="11"/>
        <v>Static Electric Core</v>
      </c>
      <c r="S17" s="1" t="str">
        <f t="shared" si="12"/>
        <v>6-PA</v>
      </c>
      <c r="T17" s="2" t="str">
        <f t="shared" si="13"/>
        <v>Static Electric Core</v>
      </c>
      <c r="U17" s="1" t="str">
        <f t="shared" si="14"/>
        <v>7-PA</v>
      </c>
      <c r="V17" s="2" t="str">
        <f t="shared" si="15"/>
        <v>Static Electric Core</v>
      </c>
      <c r="W17" s="1" t="str">
        <f t="shared" si="16"/>
        <v>8-PA</v>
      </c>
      <c r="X17" s="2" t="str">
        <f t="shared" si="17"/>
        <v>Static Electric Core</v>
      </c>
      <c r="Y17" s="1" t="str">
        <f t="shared" si="18"/>
        <v>9-PA</v>
      </c>
      <c r="Z17" s="2" t="str">
        <f t="shared" si="19"/>
        <v>Static Electric Core</v>
      </c>
      <c r="AA17" s="1" t="str">
        <f t="shared" si="20"/>
        <v>10-PA</v>
      </c>
      <c r="AB17" s="2"/>
      <c r="AC17" s="1"/>
      <c r="AD17" s="2"/>
      <c r="AE17" s="1"/>
      <c r="AF17" s="2" t="str">
        <f t="shared" si="21"/>
        <v>Static Electric Core</v>
      </c>
      <c r="AG17" s="1" t="str">
        <f t="shared" si="22"/>
        <v>13-PA</v>
      </c>
      <c r="AH17" s="2" t="str">
        <f t="shared" si="23"/>
        <v>Static Electric Core</v>
      </c>
      <c r="AI17" s="1" t="str">
        <f t="shared" si="24"/>
        <v>14-PA</v>
      </c>
      <c r="AJ17" s="2" t="str">
        <f t="shared" si="25"/>
        <v>Static Electric Core</v>
      </c>
      <c r="AK17" s="1" t="str">
        <f t="shared" si="26"/>
        <v>15-PA</v>
      </c>
      <c r="AL17" s="2" t="str">
        <f t="shared" si="27"/>
        <v>Static Electric Core</v>
      </c>
      <c r="AM17" s="1" t="str">
        <f t="shared" si="28"/>
        <v>16-PA</v>
      </c>
      <c r="AN17" s="2" t="str">
        <f t="shared" si="29"/>
        <v>Static Electric Core</v>
      </c>
      <c r="AO17" s="1" t="str">
        <f t="shared" si="30"/>
        <v>17-PA</v>
      </c>
      <c r="AP17" s="2"/>
      <c r="AQ17" s="1"/>
      <c r="AR17" s="2"/>
      <c r="AS17" s="1"/>
      <c r="AT17" s="2"/>
      <c r="AU17" s="1"/>
      <c r="AV17" s="2"/>
      <c r="AW17" s="1"/>
      <c r="AX17" s="2" t="str">
        <f t="shared" si="31"/>
        <v>Static Electric Core</v>
      </c>
      <c r="AY17" s="1" t="str">
        <f t="shared" si="32"/>
        <v>22-PA</v>
      </c>
      <c r="AZ17" s="2" t="str">
        <f t="shared" si="33"/>
        <v>Static Electric Core</v>
      </c>
      <c r="BA17" s="1" t="str">
        <f t="shared" si="34"/>
        <v>23-PA</v>
      </c>
      <c r="BB17" s="2" t="str">
        <f t="shared" si="35"/>
        <v>Static Electric Core</v>
      </c>
      <c r="BC17" s="1" t="str">
        <f t="shared" si="36"/>
        <v>SCM-PA</v>
      </c>
    </row>
    <row r="18" spans="4:55" x14ac:dyDescent="0.25">
      <c r="D18" s="2" t="s">
        <v>2</v>
      </c>
      <c r="E18" s="1" t="s">
        <v>505</v>
      </c>
      <c r="G18" t="s">
        <v>460</v>
      </c>
      <c r="H18" s="2" t="s">
        <v>6</v>
      </c>
      <c r="I18" s="1" t="str">
        <f t="shared" si="0"/>
        <v>1-PB</v>
      </c>
      <c r="J18" s="2" t="str">
        <f t="shared" si="3"/>
        <v>Static Electric Core</v>
      </c>
      <c r="K18" s="1" t="str">
        <f t="shared" si="4"/>
        <v>2-PB</v>
      </c>
      <c r="L18" s="2" t="str">
        <f t="shared" si="5"/>
        <v>Static Electric Core</v>
      </c>
      <c r="M18" s="1" t="str">
        <f t="shared" si="6"/>
        <v>3-PB</v>
      </c>
      <c r="N18" s="2" t="str">
        <f t="shared" si="7"/>
        <v>Static Electric Core</v>
      </c>
      <c r="O18" s="1" t="str">
        <f t="shared" si="8"/>
        <v>4-PB</v>
      </c>
      <c r="P18" s="2" t="str">
        <f t="shared" si="9"/>
        <v>Static Electric Core</v>
      </c>
      <c r="Q18" s="1" t="str">
        <f t="shared" si="10"/>
        <v>5-PB</v>
      </c>
      <c r="R18" s="2" t="str">
        <f t="shared" si="11"/>
        <v>Static Electric Core</v>
      </c>
      <c r="S18" s="1" t="str">
        <f t="shared" si="12"/>
        <v>6-PB</v>
      </c>
      <c r="T18" s="2" t="str">
        <f t="shared" si="13"/>
        <v>Static Electric Core</v>
      </c>
      <c r="U18" s="1" t="str">
        <f t="shared" si="14"/>
        <v>7-PB</v>
      </c>
      <c r="V18" s="2" t="str">
        <f t="shared" si="15"/>
        <v>Static Electric Core</v>
      </c>
      <c r="W18" s="1" t="str">
        <f t="shared" si="16"/>
        <v>8-PB</v>
      </c>
      <c r="X18" s="2" t="str">
        <f t="shared" si="17"/>
        <v>Static Electric Core</v>
      </c>
      <c r="Y18" s="1" t="str">
        <f t="shared" si="18"/>
        <v>9-PB</v>
      </c>
      <c r="Z18" s="2" t="str">
        <f t="shared" si="19"/>
        <v>Static Electric Core</v>
      </c>
      <c r="AA18" s="1" t="str">
        <f t="shared" si="20"/>
        <v>10-PB</v>
      </c>
      <c r="AB18" s="2"/>
      <c r="AC18" s="1"/>
      <c r="AD18" s="2"/>
      <c r="AE18" s="1"/>
      <c r="AF18" s="2" t="str">
        <f t="shared" si="21"/>
        <v>Static Electric Core</v>
      </c>
      <c r="AG18" s="1" t="str">
        <f t="shared" si="22"/>
        <v>13-PB</v>
      </c>
      <c r="AH18" s="2" t="str">
        <f t="shared" si="23"/>
        <v>Static Electric Core</v>
      </c>
      <c r="AI18" s="1" t="str">
        <f t="shared" si="24"/>
        <v>14-PB</v>
      </c>
      <c r="AJ18" s="2" t="str">
        <f t="shared" si="25"/>
        <v>Static Electric Core</v>
      </c>
      <c r="AK18" s="1" t="str">
        <f t="shared" si="26"/>
        <v>15-PB</v>
      </c>
      <c r="AL18" s="2" t="str">
        <f t="shared" si="27"/>
        <v>Static Electric Core</v>
      </c>
      <c r="AM18" s="1" t="str">
        <f t="shared" si="28"/>
        <v>16-PB</v>
      </c>
      <c r="AN18" s="2" t="str">
        <f t="shared" si="29"/>
        <v>Static Electric Core</v>
      </c>
      <c r="AO18" s="1" t="str">
        <f t="shared" si="30"/>
        <v>17-PB</v>
      </c>
      <c r="AP18" s="2"/>
      <c r="AQ18" s="1"/>
      <c r="AR18" s="2"/>
      <c r="AS18" s="1"/>
      <c r="AT18" s="2"/>
      <c r="AU18" s="1"/>
      <c r="AV18" s="2"/>
      <c r="AW18" s="1"/>
      <c r="AX18" s="2" t="str">
        <f t="shared" si="31"/>
        <v>Static Electric Core</v>
      </c>
      <c r="AY18" s="1" t="str">
        <f t="shared" si="32"/>
        <v>22-PB</v>
      </c>
      <c r="AZ18" s="2" t="str">
        <f t="shared" si="33"/>
        <v>Static Electric Core</v>
      </c>
      <c r="BA18" s="1" t="str">
        <f t="shared" si="34"/>
        <v>23-PB</v>
      </c>
      <c r="BB18" s="2" t="str">
        <f t="shared" si="35"/>
        <v>Static Electric Core</v>
      </c>
      <c r="BC18" s="1" t="str">
        <f t="shared" si="36"/>
        <v>SCM-PB</v>
      </c>
    </row>
    <row r="19" spans="4:55" x14ac:dyDescent="0.25">
      <c r="D19" s="2" t="s">
        <v>2</v>
      </c>
      <c r="E19" s="1" t="s">
        <v>503</v>
      </c>
      <c r="G19" t="s">
        <v>26</v>
      </c>
      <c r="H19" s="2" t="s">
        <v>1</v>
      </c>
      <c r="I19" s="1" t="str">
        <f t="shared" si="0"/>
        <v>1-D1</v>
      </c>
      <c r="J19" s="2" t="str">
        <f t="shared" si="3"/>
        <v>Hydraulic Coupling</v>
      </c>
      <c r="K19" s="1" t="str">
        <f t="shared" si="4"/>
        <v>2-D1</v>
      </c>
      <c r="L19" s="2" t="str">
        <f t="shared" si="5"/>
        <v>Hydraulic Coupling</v>
      </c>
      <c r="M19" s="1" t="str">
        <f t="shared" si="6"/>
        <v>3-D1</v>
      </c>
      <c r="N19" s="2" t="str">
        <f t="shared" si="7"/>
        <v>Hydraulic Coupling</v>
      </c>
      <c r="O19" s="1" t="str">
        <f t="shared" si="8"/>
        <v>4-D1</v>
      </c>
      <c r="P19" s="2" t="str">
        <f t="shared" si="9"/>
        <v>Hydraulic Coupling</v>
      </c>
      <c r="Q19" s="1" t="str">
        <f t="shared" si="10"/>
        <v>5-D1</v>
      </c>
      <c r="R19" s="2" t="str">
        <f t="shared" si="11"/>
        <v>Hydraulic Coupling</v>
      </c>
      <c r="S19" s="1" t="str">
        <f t="shared" si="12"/>
        <v>6-D1</v>
      </c>
      <c r="T19" s="2" t="str">
        <f t="shared" si="13"/>
        <v>Hydraulic Coupling</v>
      </c>
      <c r="U19" s="1" t="str">
        <f t="shared" si="14"/>
        <v>7-D1</v>
      </c>
      <c r="V19" s="2" t="str">
        <f t="shared" si="15"/>
        <v>Hydraulic Coupling</v>
      </c>
      <c r="W19" s="1" t="str">
        <f t="shared" si="16"/>
        <v>8-D1</v>
      </c>
      <c r="X19" s="2" t="str">
        <f t="shared" si="17"/>
        <v>Hydraulic Coupling</v>
      </c>
      <c r="Y19" s="1" t="str">
        <f t="shared" si="18"/>
        <v>9-D1</v>
      </c>
      <c r="Z19" s="2" t="str">
        <f t="shared" si="19"/>
        <v>Hydraulic Coupling</v>
      </c>
      <c r="AA19" s="1" t="str">
        <f t="shared" si="20"/>
        <v>10-D1</v>
      </c>
      <c r="AB19" s="2"/>
      <c r="AC19" s="1"/>
      <c r="AD19" s="2"/>
      <c r="AE19" s="1"/>
      <c r="AF19" s="2" t="str">
        <f t="shared" si="21"/>
        <v>Hydraulic Coupling</v>
      </c>
      <c r="AG19" s="1" t="str">
        <f t="shared" si="22"/>
        <v>13-D1</v>
      </c>
      <c r="AH19" s="2" t="str">
        <f t="shared" si="23"/>
        <v>Hydraulic Coupling</v>
      </c>
      <c r="AI19" s="1" t="str">
        <f t="shared" si="24"/>
        <v>14-D1</v>
      </c>
      <c r="AJ19" s="2" t="str">
        <f t="shared" si="25"/>
        <v>Hydraulic Coupling</v>
      </c>
      <c r="AK19" s="1" t="str">
        <f t="shared" si="26"/>
        <v>15-D1</v>
      </c>
      <c r="AL19" s="2" t="str">
        <f t="shared" si="27"/>
        <v>Hydraulic Coupling</v>
      </c>
      <c r="AM19" s="1" t="str">
        <f t="shared" si="28"/>
        <v>16-D1</v>
      </c>
      <c r="AN19" s="2" t="str">
        <f t="shared" si="29"/>
        <v>Hydraulic Coupling</v>
      </c>
      <c r="AO19" s="1" t="str">
        <f t="shared" si="30"/>
        <v>17-D1</v>
      </c>
      <c r="AP19" s="2"/>
      <c r="AQ19" s="1"/>
      <c r="AR19" s="2"/>
      <c r="AS19" s="1"/>
      <c r="AT19" s="2"/>
      <c r="AU19" s="1"/>
      <c r="AV19" s="2"/>
      <c r="AW19" s="1"/>
      <c r="AX19" s="2" t="str">
        <f t="shared" si="31"/>
        <v>Hydraulic Coupling</v>
      </c>
      <c r="AY19" s="1" t="str">
        <f t="shared" si="32"/>
        <v>22-D1</v>
      </c>
      <c r="AZ19" s="2" t="str">
        <f t="shared" si="33"/>
        <v>Hydraulic Coupling</v>
      </c>
      <c r="BA19" s="1" t="str">
        <f t="shared" si="34"/>
        <v>23-D1</v>
      </c>
      <c r="BB19" s="2" t="str">
        <f t="shared" si="35"/>
        <v>Hydraulic Coupling</v>
      </c>
      <c r="BC19" s="1" t="str">
        <f t="shared" si="36"/>
        <v>SCM-D1</v>
      </c>
    </row>
    <row r="20" spans="4:55" x14ac:dyDescent="0.25">
      <c r="D20" s="2" t="s">
        <v>2</v>
      </c>
      <c r="E20" s="1" t="s">
        <v>501</v>
      </c>
      <c r="G20" t="s">
        <v>25</v>
      </c>
      <c r="H20" s="2" t="s">
        <v>1</v>
      </c>
      <c r="I20" s="1" t="str">
        <f t="shared" si="0"/>
        <v>1-D2</v>
      </c>
      <c r="J20" s="2" t="str">
        <f t="shared" si="3"/>
        <v>Hydraulic Coupling</v>
      </c>
      <c r="K20" s="1" t="str">
        <f t="shared" si="4"/>
        <v>2-D2</v>
      </c>
      <c r="L20" s="2" t="str">
        <f t="shared" si="5"/>
        <v>Hydraulic Coupling</v>
      </c>
      <c r="M20" s="1" t="str">
        <f t="shared" si="6"/>
        <v>3-D2</v>
      </c>
      <c r="N20" s="2" t="str">
        <f t="shared" si="7"/>
        <v>Hydraulic Coupling</v>
      </c>
      <c r="O20" s="1" t="str">
        <f t="shared" si="8"/>
        <v>4-D2</v>
      </c>
      <c r="P20" s="2" t="str">
        <f t="shared" si="9"/>
        <v>Hydraulic Coupling</v>
      </c>
      <c r="Q20" s="1" t="str">
        <f t="shared" si="10"/>
        <v>5-D2</v>
      </c>
      <c r="R20" s="2" t="str">
        <f t="shared" si="11"/>
        <v>Hydraulic Coupling</v>
      </c>
      <c r="S20" s="1" t="str">
        <f t="shared" si="12"/>
        <v>6-D2</v>
      </c>
      <c r="T20" s="2" t="str">
        <f t="shared" si="13"/>
        <v>Hydraulic Coupling</v>
      </c>
      <c r="U20" s="1" t="str">
        <f t="shared" si="14"/>
        <v>7-D2</v>
      </c>
      <c r="V20" s="2" t="str">
        <f t="shared" si="15"/>
        <v>Hydraulic Coupling</v>
      </c>
      <c r="W20" s="1" t="str">
        <f t="shared" si="16"/>
        <v>8-D2</v>
      </c>
      <c r="X20" s="2" t="str">
        <f t="shared" si="17"/>
        <v>Hydraulic Coupling</v>
      </c>
      <c r="Y20" s="1" t="str">
        <f t="shared" si="18"/>
        <v>9-D2</v>
      </c>
      <c r="Z20" s="2" t="str">
        <f t="shared" si="19"/>
        <v>Hydraulic Coupling</v>
      </c>
      <c r="AA20" s="1" t="str">
        <f t="shared" si="20"/>
        <v>10-D2</v>
      </c>
      <c r="AB20" s="2"/>
      <c r="AC20" s="1"/>
      <c r="AD20" s="2"/>
      <c r="AE20" s="1"/>
      <c r="AF20" s="2" t="str">
        <f t="shared" si="21"/>
        <v>Hydraulic Coupling</v>
      </c>
      <c r="AG20" s="1" t="str">
        <f t="shared" si="22"/>
        <v>13-D2</v>
      </c>
      <c r="AH20" s="2" t="str">
        <f t="shared" si="23"/>
        <v>Hydraulic Coupling</v>
      </c>
      <c r="AI20" s="1" t="str">
        <f t="shared" si="24"/>
        <v>14-D2</v>
      </c>
      <c r="AJ20" s="2" t="str">
        <f t="shared" si="25"/>
        <v>Hydraulic Coupling</v>
      </c>
      <c r="AK20" s="1" t="str">
        <f t="shared" si="26"/>
        <v>15-D2</v>
      </c>
      <c r="AL20" s="2" t="str">
        <f t="shared" si="27"/>
        <v>Hydraulic Coupling</v>
      </c>
      <c r="AM20" s="1" t="str">
        <f t="shared" si="28"/>
        <v>16-D2</v>
      </c>
      <c r="AN20" s="2" t="str">
        <f t="shared" si="29"/>
        <v>Hydraulic Coupling</v>
      </c>
      <c r="AO20" s="1" t="str">
        <f t="shared" si="30"/>
        <v>17-D2</v>
      </c>
      <c r="AP20" s="2"/>
      <c r="AQ20" s="1"/>
      <c r="AR20" s="2"/>
      <c r="AS20" s="1"/>
      <c r="AT20" s="2"/>
      <c r="AU20" s="1"/>
      <c r="AV20" s="2"/>
      <c r="AW20" s="1"/>
      <c r="AX20" s="2" t="str">
        <f t="shared" si="31"/>
        <v>Hydraulic Coupling</v>
      </c>
      <c r="AY20" s="1" t="str">
        <f t="shared" si="32"/>
        <v>22-D2</v>
      </c>
      <c r="AZ20" s="2" t="str">
        <f t="shared" si="33"/>
        <v>Hydraulic Coupling</v>
      </c>
      <c r="BA20" s="1" t="str">
        <f t="shared" si="34"/>
        <v>23-D2</v>
      </c>
      <c r="BB20" s="2" t="str">
        <f t="shared" si="35"/>
        <v>Hydraulic Coupling</v>
      </c>
      <c r="BC20" s="1" t="str">
        <f t="shared" si="36"/>
        <v>SCM-D2</v>
      </c>
    </row>
    <row r="21" spans="4:55" x14ac:dyDescent="0.25">
      <c r="D21" s="2" t="s">
        <v>2</v>
      </c>
      <c r="E21" s="1" t="s">
        <v>499</v>
      </c>
      <c r="G21" t="s">
        <v>23</v>
      </c>
      <c r="H21" s="2" t="s">
        <v>1</v>
      </c>
      <c r="I21" s="1" t="str">
        <f t="shared" si="0"/>
        <v>1-D3</v>
      </c>
      <c r="J21" s="2" t="str">
        <f t="shared" si="3"/>
        <v>Hydraulic Coupling</v>
      </c>
      <c r="K21" s="1" t="str">
        <f t="shared" si="4"/>
        <v>2-D3</v>
      </c>
      <c r="L21" s="2" t="str">
        <f t="shared" si="5"/>
        <v>Hydraulic Coupling</v>
      </c>
      <c r="M21" s="1" t="str">
        <f t="shared" si="6"/>
        <v>3-D3</v>
      </c>
      <c r="N21" s="2" t="str">
        <f t="shared" si="7"/>
        <v>Hydraulic Coupling</v>
      </c>
      <c r="O21" s="1" t="str">
        <f t="shared" si="8"/>
        <v>4-D3</v>
      </c>
      <c r="P21" s="2" t="str">
        <f t="shared" si="9"/>
        <v>Hydraulic Coupling</v>
      </c>
      <c r="Q21" s="1" t="str">
        <f t="shared" si="10"/>
        <v>5-D3</v>
      </c>
      <c r="R21" s="2" t="str">
        <f t="shared" si="11"/>
        <v>Hydraulic Coupling</v>
      </c>
      <c r="S21" s="1" t="str">
        <f t="shared" si="12"/>
        <v>6-D3</v>
      </c>
      <c r="T21" s="2" t="str">
        <f t="shared" si="13"/>
        <v>Hydraulic Coupling</v>
      </c>
      <c r="U21" s="1" t="str">
        <f t="shared" si="14"/>
        <v>7-D3</v>
      </c>
      <c r="V21" s="2" t="str">
        <f t="shared" si="15"/>
        <v>Hydraulic Coupling</v>
      </c>
      <c r="W21" s="1" t="str">
        <f t="shared" si="16"/>
        <v>8-D3</v>
      </c>
      <c r="X21" s="2" t="str">
        <f t="shared" si="17"/>
        <v>Hydraulic Coupling</v>
      </c>
      <c r="Y21" s="1" t="str">
        <f t="shared" si="18"/>
        <v>9-D3</v>
      </c>
      <c r="Z21" s="2" t="str">
        <f t="shared" si="19"/>
        <v>Hydraulic Coupling</v>
      </c>
      <c r="AA21" s="1" t="str">
        <f t="shared" si="20"/>
        <v>10-D3</v>
      </c>
      <c r="AB21" s="2"/>
      <c r="AC21" s="1"/>
      <c r="AD21" s="2"/>
      <c r="AE21" s="1"/>
      <c r="AF21" s="2" t="str">
        <f t="shared" si="21"/>
        <v>Hydraulic Coupling</v>
      </c>
      <c r="AG21" s="1" t="str">
        <f t="shared" si="22"/>
        <v>13-D3</v>
      </c>
      <c r="AH21" s="2" t="str">
        <f t="shared" si="23"/>
        <v>Hydraulic Coupling</v>
      </c>
      <c r="AI21" s="1" t="str">
        <f t="shared" si="24"/>
        <v>14-D3</v>
      </c>
      <c r="AJ21" s="2" t="str">
        <f t="shared" si="25"/>
        <v>Hydraulic Coupling</v>
      </c>
      <c r="AK21" s="1" t="str">
        <f t="shared" si="26"/>
        <v>15-D3</v>
      </c>
      <c r="AL21" s="2" t="str">
        <f t="shared" si="27"/>
        <v>Hydraulic Coupling</v>
      </c>
      <c r="AM21" s="1" t="str">
        <f t="shared" si="28"/>
        <v>16-D3</v>
      </c>
      <c r="AN21" s="2" t="str">
        <f t="shared" si="29"/>
        <v>Hydraulic Coupling</v>
      </c>
      <c r="AO21" s="1" t="str">
        <f t="shared" si="30"/>
        <v>17-D3</v>
      </c>
      <c r="AP21" s="2"/>
      <c r="AQ21" s="1"/>
      <c r="AR21" s="2"/>
      <c r="AS21" s="1"/>
      <c r="AT21" s="2"/>
      <c r="AU21" s="1"/>
      <c r="AV21" s="2"/>
      <c r="AW21" s="1"/>
      <c r="AX21" s="2" t="str">
        <f t="shared" si="31"/>
        <v>Hydraulic Coupling</v>
      </c>
      <c r="AY21" s="1" t="str">
        <f t="shared" si="32"/>
        <v>22-D3</v>
      </c>
      <c r="AZ21" s="2" t="str">
        <f t="shared" si="33"/>
        <v>Hydraulic Coupling</v>
      </c>
      <c r="BA21" s="1" t="str">
        <f t="shared" si="34"/>
        <v>23-D3</v>
      </c>
      <c r="BB21" s="2" t="str">
        <f t="shared" si="35"/>
        <v>Hydraulic Coupling</v>
      </c>
      <c r="BC21" s="1" t="str">
        <f t="shared" si="36"/>
        <v>SCM-D3</v>
      </c>
    </row>
    <row r="22" spans="4:55" x14ac:dyDescent="0.25">
      <c r="D22" s="2" t="s">
        <v>2</v>
      </c>
      <c r="E22" s="1" t="s">
        <v>497</v>
      </c>
      <c r="G22" t="s">
        <v>21</v>
      </c>
      <c r="H22" s="2" t="s">
        <v>1</v>
      </c>
      <c r="I22" s="1" t="str">
        <f t="shared" si="0"/>
        <v>1-D4</v>
      </c>
      <c r="J22" s="2" t="str">
        <f t="shared" si="3"/>
        <v>Hydraulic Coupling</v>
      </c>
      <c r="K22" s="1" t="str">
        <f t="shared" si="4"/>
        <v>2-D4</v>
      </c>
      <c r="L22" s="2" t="str">
        <f t="shared" si="5"/>
        <v>Hydraulic Coupling</v>
      </c>
      <c r="M22" s="1" t="str">
        <f t="shared" si="6"/>
        <v>3-D4</v>
      </c>
      <c r="N22" s="2" t="str">
        <f t="shared" si="7"/>
        <v>Hydraulic Coupling</v>
      </c>
      <c r="O22" s="1" t="str">
        <f t="shared" si="8"/>
        <v>4-D4</v>
      </c>
      <c r="P22" s="2" t="str">
        <f t="shared" si="9"/>
        <v>Hydraulic Coupling</v>
      </c>
      <c r="Q22" s="1" t="str">
        <f t="shared" si="10"/>
        <v>5-D4</v>
      </c>
      <c r="R22" s="2" t="str">
        <f t="shared" si="11"/>
        <v>Hydraulic Coupling</v>
      </c>
      <c r="S22" s="1" t="str">
        <f t="shared" si="12"/>
        <v>6-D4</v>
      </c>
      <c r="T22" s="2" t="str">
        <f t="shared" si="13"/>
        <v>Hydraulic Coupling</v>
      </c>
      <c r="U22" s="1" t="str">
        <f t="shared" si="14"/>
        <v>7-D4</v>
      </c>
      <c r="V22" s="2" t="str">
        <f t="shared" si="15"/>
        <v>Hydraulic Coupling</v>
      </c>
      <c r="W22" s="1" t="str">
        <f t="shared" si="16"/>
        <v>8-D4</v>
      </c>
      <c r="X22" s="2" t="str">
        <f t="shared" si="17"/>
        <v>Hydraulic Coupling</v>
      </c>
      <c r="Y22" s="1" t="str">
        <f t="shared" si="18"/>
        <v>9-D4</v>
      </c>
      <c r="Z22" s="2" t="str">
        <f t="shared" si="19"/>
        <v>Hydraulic Coupling</v>
      </c>
      <c r="AA22" s="1" t="str">
        <f t="shared" si="20"/>
        <v>10-D4</v>
      </c>
      <c r="AB22" s="2"/>
      <c r="AC22" s="1"/>
      <c r="AD22" s="2"/>
      <c r="AE22" s="1"/>
      <c r="AF22" s="2" t="str">
        <f t="shared" si="21"/>
        <v>Hydraulic Coupling</v>
      </c>
      <c r="AG22" s="1" t="str">
        <f t="shared" si="22"/>
        <v>13-D4</v>
      </c>
      <c r="AH22" s="2" t="str">
        <f t="shared" si="23"/>
        <v>Hydraulic Coupling</v>
      </c>
      <c r="AI22" s="1" t="str">
        <f t="shared" si="24"/>
        <v>14-D4</v>
      </c>
      <c r="AJ22" s="2" t="str">
        <f t="shared" si="25"/>
        <v>Hydraulic Coupling</v>
      </c>
      <c r="AK22" s="1" t="str">
        <f t="shared" si="26"/>
        <v>15-D4</v>
      </c>
      <c r="AL22" s="2" t="str">
        <f t="shared" si="27"/>
        <v>Hydraulic Coupling</v>
      </c>
      <c r="AM22" s="1" t="str">
        <f t="shared" si="28"/>
        <v>16-D4</v>
      </c>
      <c r="AN22" s="2" t="str">
        <f t="shared" si="29"/>
        <v>Hydraulic Coupling</v>
      </c>
      <c r="AO22" s="1" t="str">
        <f t="shared" si="30"/>
        <v>17-D4</v>
      </c>
      <c r="AP22" s="2"/>
      <c r="AQ22" s="1"/>
      <c r="AR22" s="2"/>
      <c r="AS22" s="1"/>
      <c r="AT22" s="2"/>
      <c r="AU22" s="1"/>
      <c r="AV22" s="2"/>
      <c r="AW22" s="1"/>
      <c r="AX22" s="2" t="str">
        <f t="shared" si="31"/>
        <v>Hydraulic Coupling</v>
      </c>
      <c r="AY22" s="1" t="str">
        <f t="shared" si="32"/>
        <v>22-D4</v>
      </c>
      <c r="AZ22" s="2" t="str">
        <f t="shared" si="33"/>
        <v>Hydraulic Coupling</v>
      </c>
      <c r="BA22" s="1" t="str">
        <f t="shared" si="34"/>
        <v>23-D4</v>
      </c>
      <c r="BB22" s="2" t="str">
        <f t="shared" si="35"/>
        <v>Hydraulic Coupling</v>
      </c>
      <c r="BC22" s="1" t="str">
        <f t="shared" si="36"/>
        <v>SCM-D4</v>
      </c>
    </row>
    <row r="23" spans="4:55" x14ac:dyDescent="0.25">
      <c r="D23" s="2" t="s">
        <v>2</v>
      </c>
      <c r="E23" s="1" t="s">
        <v>495</v>
      </c>
      <c r="G23" t="s">
        <v>18</v>
      </c>
      <c r="H23" s="2" t="s">
        <v>5</v>
      </c>
      <c r="I23" s="1" t="str">
        <f t="shared" si="0"/>
        <v>1-D5</v>
      </c>
      <c r="J23" s="2" t="str">
        <f t="shared" si="3"/>
        <v>Power/Signal Coupling</v>
      </c>
      <c r="K23" s="1" t="str">
        <f t="shared" si="4"/>
        <v>2-D5</v>
      </c>
      <c r="L23" s="2" t="str">
        <f t="shared" si="5"/>
        <v>Power/Signal Coupling</v>
      </c>
      <c r="M23" s="1" t="str">
        <f t="shared" si="6"/>
        <v>3-D5</v>
      </c>
      <c r="N23" s="2" t="str">
        <f t="shared" si="7"/>
        <v>Power/Signal Coupling</v>
      </c>
      <c r="O23" s="1" t="str">
        <f t="shared" si="8"/>
        <v>4-D5</v>
      </c>
      <c r="P23" s="2" t="str">
        <f t="shared" si="9"/>
        <v>Power/Signal Coupling</v>
      </c>
      <c r="Q23" s="1" t="str">
        <f t="shared" si="10"/>
        <v>5-D5</v>
      </c>
      <c r="R23" s="2" t="str">
        <f t="shared" si="11"/>
        <v>Power/Signal Coupling</v>
      </c>
      <c r="S23" s="1" t="str">
        <f t="shared" si="12"/>
        <v>6-D5</v>
      </c>
      <c r="T23" s="2" t="str">
        <f t="shared" si="13"/>
        <v>Power/Signal Coupling</v>
      </c>
      <c r="U23" s="1" t="str">
        <f t="shared" si="14"/>
        <v>7-D5</v>
      </c>
      <c r="V23" s="2" t="str">
        <f t="shared" si="15"/>
        <v>Power/Signal Coupling</v>
      </c>
      <c r="W23" s="1" t="str">
        <f t="shared" si="16"/>
        <v>8-D5</v>
      </c>
      <c r="X23" s="2" t="str">
        <f t="shared" si="17"/>
        <v>Power/Signal Coupling</v>
      </c>
      <c r="Y23" s="1" t="str">
        <f t="shared" si="18"/>
        <v>9-D5</v>
      </c>
      <c r="Z23" s="2" t="str">
        <f t="shared" si="19"/>
        <v>Power/Signal Coupling</v>
      </c>
      <c r="AA23" s="1" t="str">
        <f t="shared" si="20"/>
        <v>10-D5</v>
      </c>
      <c r="AB23" s="2"/>
      <c r="AC23" s="1"/>
      <c r="AD23" s="2"/>
      <c r="AE23" s="1"/>
      <c r="AF23" s="2" t="str">
        <f t="shared" si="21"/>
        <v>Power/Signal Coupling</v>
      </c>
      <c r="AG23" s="1" t="str">
        <f t="shared" si="22"/>
        <v>13-D5</v>
      </c>
      <c r="AH23" s="2" t="str">
        <f t="shared" si="23"/>
        <v>Power/Signal Coupling</v>
      </c>
      <c r="AI23" s="1" t="str">
        <f t="shared" si="24"/>
        <v>14-D5</v>
      </c>
      <c r="AJ23" s="2" t="str">
        <f t="shared" si="25"/>
        <v>Power/Signal Coupling</v>
      </c>
      <c r="AK23" s="1" t="str">
        <f t="shared" si="26"/>
        <v>15-D5</v>
      </c>
      <c r="AL23" s="2" t="str">
        <f t="shared" si="27"/>
        <v>Power/Signal Coupling</v>
      </c>
      <c r="AM23" s="1" t="str">
        <f t="shared" si="28"/>
        <v>16-D5</v>
      </c>
      <c r="AN23" s="2" t="str">
        <f t="shared" si="29"/>
        <v>Power/Signal Coupling</v>
      </c>
      <c r="AO23" s="1" t="str">
        <f t="shared" si="30"/>
        <v>17-D5</v>
      </c>
      <c r="AP23" s="2"/>
      <c r="AQ23" s="1"/>
      <c r="AR23" s="2"/>
      <c r="AS23" s="1"/>
      <c r="AT23" s="2"/>
      <c r="AU23" s="1"/>
      <c r="AV23" s="2"/>
      <c r="AW23" s="1"/>
      <c r="AX23" s="2" t="str">
        <f t="shared" si="31"/>
        <v>Power/Signal Coupling</v>
      </c>
      <c r="AY23" s="1" t="str">
        <f t="shared" si="32"/>
        <v>22-D5</v>
      </c>
      <c r="AZ23" s="2" t="str">
        <f t="shared" si="33"/>
        <v>Power/Signal Coupling</v>
      </c>
      <c r="BA23" s="1" t="str">
        <f t="shared" si="34"/>
        <v>23-D5</v>
      </c>
      <c r="BB23" s="2" t="str">
        <f t="shared" si="35"/>
        <v>Power/Signal Coupling</v>
      </c>
      <c r="BC23" s="1" t="str">
        <f t="shared" si="36"/>
        <v>SCM-D5</v>
      </c>
    </row>
    <row r="24" spans="4:55" x14ac:dyDescent="0.25">
      <c r="D24" s="2" t="s">
        <v>2</v>
      </c>
      <c r="E24" s="1" t="s">
        <v>493</v>
      </c>
      <c r="G24" t="s">
        <v>8</v>
      </c>
      <c r="H24" s="2" t="s">
        <v>5</v>
      </c>
      <c r="I24" s="1" t="str">
        <f t="shared" si="0"/>
        <v>1-D6</v>
      </c>
      <c r="J24" s="2" t="str">
        <f t="shared" si="3"/>
        <v>Power/Signal Coupling</v>
      </c>
      <c r="K24" s="1" t="str">
        <f t="shared" si="4"/>
        <v>2-D6</v>
      </c>
      <c r="L24" s="2" t="str">
        <f t="shared" si="5"/>
        <v>Power/Signal Coupling</v>
      </c>
      <c r="M24" s="1" t="str">
        <f t="shared" si="6"/>
        <v>3-D6</v>
      </c>
      <c r="N24" s="2" t="str">
        <f t="shared" si="7"/>
        <v>Power/Signal Coupling</v>
      </c>
      <c r="O24" s="1" t="str">
        <f t="shared" si="8"/>
        <v>4-D6</v>
      </c>
      <c r="P24" s="2" t="str">
        <f t="shared" si="9"/>
        <v>Power/Signal Coupling</v>
      </c>
      <c r="Q24" s="1" t="str">
        <f t="shared" si="10"/>
        <v>5-D6</v>
      </c>
      <c r="R24" s="2" t="str">
        <f t="shared" si="11"/>
        <v>Power/Signal Coupling</v>
      </c>
      <c r="S24" s="1" t="str">
        <f t="shared" si="12"/>
        <v>6-D6</v>
      </c>
      <c r="T24" s="2" t="str">
        <f t="shared" si="13"/>
        <v>Power/Signal Coupling</v>
      </c>
      <c r="U24" s="1" t="str">
        <f t="shared" si="14"/>
        <v>7-D6</v>
      </c>
      <c r="V24" s="2" t="str">
        <f t="shared" si="15"/>
        <v>Power/Signal Coupling</v>
      </c>
      <c r="W24" s="1" t="str">
        <f t="shared" si="16"/>
        <v>8-D6</v>
      </c>
      <c r="X24" s="2" t="str">
        <f t="shared" si="17"/>
        <v>Power/Signal Coupling</v>
      </c>
      <c r="Y24" s="1" t="str">
        <f t="shared" si="18"/>
        <v>9-D6</v>
      </c>
      <c r="Z24" s="2" t="str">
        <f t="shared" si="19"/>
        <v>Power/Signal Coupling</v>
      </c>
      <c r="AA24" s="1" t="str">
        <f t="shared" si="20"/>
        <v>10-D6</v>
      </c>
      <c r="AB24" s="2"/>
      <c r="AC24" s="1"/>
      <c r="AD24" s="2"/>
      <c r="AE24" s="1"/>
      <c r="AF24" s="2" t="str">
        <f t="shared" si="21"/>
        <v>Power/Signal Coupling</v>
      </c>
      <c r="AG24" s="1" t="str">
        <f t="shared" si="22"/>
        <v>13-D6</v>
      </c>
      <c r="AH24" s="2" t="str">
        <f t="shared" si="23"/>
        <v>Power/Signal Coupling</v>
      </c>
      <c r="AI24" s="1" t="str">
        <f t="shared" si="24"/>
        <v>14-D6</v>
      </c>
      <c r="AJ24" s="2" t="str">
        <f t="shared" si="25"/>
        <v>Power/Signal Coupling</v>
      </c>
      <c r="AK24" s="1" t="str">
        <f t="shared" si="26"/>
        <v>15-D6</v>
      </c>
      <c r="AL24" s="2" t="str">
        <f t="shared" si="27"/>
        <v>Power/Signal Coupling</v>
      </c>
      <c r="AM24" s="1" t="str">
        <f t="shared" si="28"/>
        <v>16-D6</v>
      </c>
      <c r="AN24" s="2" t="str">
        <f t="shared" si="29"/>
        <v>Power/Signal Coupling</v>
      </c>
      <c r="AO24" s="1" t="str">
        <f t="shared" si="30"/>
        <v>17-D6</v>
      </c>
      <c r="AP24" s="2"/>
      <c r="AQ24" s="1"/>
      <c r="AR24" s="2"/>
      <c r="AS24" s="1"/>
      <c r="AT24" s="2"/>
      <c r="AU24" s="1"/>
      <c r="AV24" s="2"/>
      <c r="AW24" s="1"/>
      <c r="AX24" s="2" t="str">
        <f t="shared" si="31"/>
        <v>Power/Signal Coupling</v>
      </c>
      <c r="AY24" s="1" t="str">
        <f t="shared" si="32"/>
        <v>22-D6</v>
      </c>
      <c r="AZ24" s="2" t="str">
        <f t="shared" si="33"/>
        <v>Power/Signal Coupling</v>
      </c>
      <c r="BA24" s="1" t="str">
        <f t="shared" si="34"/>
        <v>23-D6</v>
      </c>
      <c r="BB24" s="2" t="str">
        <f t="shared" si="35"/>
        <v>Power/Signal Coupling</v>
      </c>
      <c r="BC24" s="1" t="str">
        <f t="shared" si="36"/>
        <v>SCM-D6</v>
      </c>
    </row>
    <row r="25" spans="4:55" x14ac:dyDescent="0.25">
      <c r="D25" s="2" t="s">
        <v>2</v>
      </c>
      <c r="E25" s="1" t="s">
        <v>491</v>
      </c>
      <c r="G25" t="s">
        <v>17</v>
      </c>
      <c r="H25" s="2" t="s">
        <v>5</v>
      </c>
      <c r="I25" s="1" t="str">
        <f t="shared" si="0"/>
        <v>1-D7</v>
      </c>
      <c r="J25" s="2"/>
      <c r="K25" s="1"/>
      <c r="L25" s="2"/>
      <c r="M25" s="1"/>
      <c r="N25" s="2"/>
      <c r="O25" s="1"/>
      <c r="P25" s="2"/>
      <c r="Q25" s="1"/>
      <c r="R25" s="2"/>
      <c r="S25" s="1"/>
      <c r="T25" s="2"/>
      <c r="U25" s="1"/>
      <c r="V25" s="2"/>
      <c r="W25" s="1"/>
      <c r="X25" s="2"/>
      <c r="Y25" s="1"/>
      <c r="Z25" s="2"/>
      <c r="AA25" s="1"/>
      <c r="AB25" s="2"/>
      <c r="AC25" s="1"/>
      <c r="AD25" s="2"/>
      <c r="AE25" s="1"/>
      <c r="AF25" s="2"/>
      <c r="AG25" s="1"/>
      <c r="AH25" s="2"/>
      <c r="AI25" s="1"/>
      <c r="AJ25" s="2"/>
      <c r="AK25" s="1"/>
      <c r="AL25" s="2"/>
      <c r="AM25" s="1"/>
      <c r="AN25" s="2"/>
      <c r="AO25" s="1"/>
      <c r="AP25" s="2"/>
      <c r="AQ25" s="1"/>
      <c r="AR25" s="2"/>
      <c r="AS25" s="1"/>
      <c r="AT25" s="2"/>
      <c r="AU25" s="1"/>
      <c r="AV25" s="2"/>
      <c r="AW25" s="1"/>
      <c r="AX25" s="2"/>
      <c r="AY25" s="1"/>
      <c r="AZ25" s="2"/>
      <c r="BA25" s="1"/>
      <c r="BB25" s="2"/>
      <c r="BC25" s="1"/>
    </row>
    <row r="26" spans="4:55" x14ac:dyDescent="0.25">
      <c r="D26" s="2" t="s">
        <v>2</v>
      </c>
      <c r="E26" s="1" t="s">
        <v>489</v>
      </c>
      <c r="G26" t="s">
        <v>15</v>
      </c>
      <c r="H26" s="2" t="s">
        <v>5</v>
      </c>
      <c r="I26" s="1" t="str">
        <f t="shared" si="0"/>
        <v>1-D8</v>
      </c>
      <c r="J26" s="2"/>
      <c r="K26" s="1"/>
      <c r="L26" s="2"/>
      <c r="M26" s="1"/>
      <c r="N26" s="2"/>
      <c r="O26" s="1"/>
      <c r="P26" s="2"/>
      <c r="Q26" s="1"/>
      <c r="R26" s="2"/>
      <c r="S26" s="1"/>
      <c r="T26" s="2"/>
      <c r="U26" s="1"/>
      <c r="V26" s="2"/>
      <c r="W26" s="1"/>
      <c r="X26" s="2"/>
      <c r="Y26" s="1"/>
      <c r="Z26" s="2"/>
      <c r="AA26" s="1"/>
      <c r="AB26" s="2"/>
      <c r="AC26" s="1"/>
      <c r="AD26" s="2"/>
      <c r="AE26" s="1"/>
      <c r="AF26" s="2"/>
      <c r="AG26" s="1"/>
      <c r="AH26" s="2"/>
      <c r="AI26" s="1"/>
      <c r="AJ26" s="2"/>
      <c r="AK26" s="1"/>
      <c r="AL26" s="2"/>
      <c r="AM26" s="1"/>
      <c r="AN26" s="2"/>
      <c r="AO26" s="1"/>
      <c r="AP26" s="2"/>
      <c r="AQ26" s="1"/>
      <c r="AR26" s="2"/>
      <c r="AS26" s="1"/>
      <c r="AT26" s="2"/>
      <c r="AU26" s="1"/>
      <c r="AV26" s="2"/>
      <c r="AW26" s="1"/>
      <c r="AX26" s="2"/>
      <c r="AY26" s="1"/>
      <c r="AZ26" s="2"/>
      <c r="BA26" s="1"/>
      <c r="BB26" s="2"/>
      <c r="BC26" s="1"/>
    </row>
    <row r="27" spans="4:55" x14ac:dyDescent="0.25">
      <c r="D27" s="2" t="s">
        <v>1</v>
      </c>
      <c r="E27" s="1" t="s">
        <v>484</v>
      </c>
      <c r="G27" t="s">
        <v>458</v>
      </c>
      <c r="H27" s="2" t="s">
        <v>6</v>
      </c>
      <c r="I27" s="1" t="str">
        <f t="shared" si="0"/>
        <v>1-CA</v>
      </c>
      <c r="J27" s="2"/>
      <c r="K27" s="1"/>
      <c r="L27" s="2"/>
      <c r="M27" s="1"/>
      <c r="N27" s="2"/>
      <c r="O27" s="1"/>
      <c r="P27" s="2"/>
      <c r="Q27" s="1"/>
      <c r="R27" s="2"/>
      <c r="S27" s="1"/>
      <c r="T27" s="2"/>
      <c r="U27" s="1"/>
      <c r="V27" s="2"/>
      <c r="W27" s="1"/>
      <c r="X27" s="2"/>
      <c r="Y27" s="1"/>
      <c r="Z27" s="2"/>
      <c r="AA27" s="1"/>
      <c r="AB27" s="2"/>
      <c r="AC27" s="1"/>
      <c r="AD27" s="2"/>
      <c r="AE27" s="1"/>
      <c r="AF27" s="2"/>
      <c r="AG27" s="1"/>
      <c r="AH27" s="2"/>
      <c r="AI27" s="1"/>
      <c r="AJ27" s="2"/>
      <c r="AK27" s="1"/>
      <c r="AL27" s="2"/>
      <c r="AM27" s="1"/>
      <c r="AN27" s="2"/>
      <c r="AO27" s="1"/>
      <c r="AP27" s="2"/>
      <c r="AQ27" s="1"/>
      <c r="AR27" s="2"/>
      <c r="AS27" s="1"/>
      <c r="AT27" s="2"/>
      <c r="AU27" s="1"/>
      <c r="AV27" s="2"/>
      <c r="AW27" s="1"/>
      <c r="AX27" s="2"/>
      <c r="AY27" s="1"/>
      <c r="AZ27" s="2"/>
      <c r="BA27" s="1"/>
      <c r="BB27" s="2"/>
      <c r="BC27" s="1"/>
    </row>
    <row r="28" spans="4:55" x14ac:dyDescent="0.25">
      <c r="D28" s="2" t="s">
        <v>1</v>
      </c>
      <c r="E28" s="1" t="s">
        <v>483</v>
      </c>
      <c r="G28" t="s">
        <v>457</v>
      </c>
      <c r="H28" s="2" t="s">
        <v>6</v>
      </c>
      <c r="I28" s="1" t="str">
        <f t="shared" si="0"/>
        <v>1-CB</v>
      </c>
      <c r="J28" s="2"/>
      <c r="K28" s="1"/>
      <c r="L28" s="2"/>
      <c r="M28" s="1"/>
      <c r="N28" s="2"/>
      <c r="O28" s="1"/>
      <c r="P28" s="2"/>
      <c r="Q28" s="1"/>
      <c r="R28" s="2"/>
      <c r="S28" s="1"/>
      <c r="T28" s="2"/>
      <c r="U28" s="1"/>
      <c r="V28" s="2"/>
      <c r="W28" s="1"/>
      <c r="X28" s="2"/>
      <c r="Y28" s="1"/>
      <c r="Z28" s="2"/>
      <c r="AA28" s="1"/>
      <c r="AB28" s="2"/>
      <c r="AC28" s="1"/>
      <c r="AD28" s="2"/>
      <c r="AE28" s="1"/>
      <c r="AF28" s="2"/>
      <c r="AG28" s="1"/>
      <c r="AH28" s="2"/>
      <c r="AI28" s="1"/>
      <c r="AJ28" s="2"/>
      <c r="AK28" s="1"/>
      <c r="AL28" s="2"/>
      <c r="AM28" s="1"/>
      <c r="AN28" s="2"/>
      <c r="AO28" s="1"/>
      <c r="AP28" s="2"/>
      <c r="AQ28" s="1"/>
      <c r="AR28" s="2"/>
      <c r="AS28" s="1"/>
      <c r="AT28" s="2"/>
      <c r="AU28" s="1"/>
      <c r="AV28" s="2"/>
      <c r="AW28" s="1"/>
      <c r="AX28" s="2"/>
      <c r="AY28" s="1"/>
      <c r="AZ28" s="2"/>
      <c r="BA28" s="1"/>
      <c r="BB28" s="2"/>
      <c r="BC28" s="1"/>
    </row>
    <row r="29" spans="4:55" x14ac:dyDescent="0.25">
      <c r="D29" s="2" t="s">
        <v>1</v>
      </c>
      <c r="E29" s="1" t="s">
        <v>482</v>
      </c>
      <c r="G29" t="s">
        <v>509</v>
      </c>
      <c r="H29" s="2" t="s">
        <v>2</v>
      </c>
      <c r="I29" s="1" t="str">
        <f t="shared" si="0"/>
        <v>1-C1</v>
      </c>
      <c r="J29" s="2"/>
      <c r="K29" s="1"/>
      <c r="L29" s="2"/>
      <c r="M29" s="1"/>
      <c r="N29" s="2"/>
      <c r="O29" s="1"/>
      <c r="P29" s="2"/>
      <c r="Q29" s="1"/>
      <c r="R29" s="2"/>
      <c r="S29" s="1"/>
      <c r="T29" s="2"/>
      <c r="U29" s="1"/>
      <c r="V29" s="2"/>
      <c r="W29" s="1"/>
      <c r="X29" s="2"/>
      <c r="Y29" s="1"/>
      <c r="Z29" s="2"/>
      <c r="AA29" s="1"/>
      <c r="AB29" s="2"/>
      <c r="AC29" s="1"/>
      <c r="AD29" s="2"/>
      <c r="AE29" s="1"/>
      <c r="AF29" s="2"/>
      <c r="AG29" s="1"/>
      <c r="AH29" s="2"/>
      <c r="AI29" s="1"/>
      <c r="AJ29" s="2"/>
      <c r="AK29" s="1"/>
      <c r="AL29" s="2"/>
      <c r="AM29" s="1"/>
      <c r="AN29" s="2"/>
      <c r="AO29" s="1"/>
      <c r="AP29" s="2"/>
      <c r="AQ29" s="1"/>
      <c r="AR29" s="2"/>
      <c r="AS29" s="1"/>
      <c r="AT29" s="2"/>
      <c r="AU29" s="1"/>
      <c r="AV29" s="2"/>
      <c r="AW29" s="1"/>
      <c r="AX29" s="2"/>
      <c r="AY29" s="1"/>
      <c r="AZ29" s="2"/>
      <c r="BA29" s="1"/>
      <c r="BB29" s="2"/>
      <c r="BC29" s="1"/>
    </row>
    <row r="30" spans="4:55" x14ac:dyDescent="0.25">
      <c r="D30" s="2" t="s">
        <v>1</v>
      </c>
      <c r="E30" s="1" t="s">
        <v>481</v>
      </c>
      <c r="G30" t="s">
        <v>508</v>
      </c>
      <c r="H30" s="2" t="s">
        <v>2</v>
      </c>
      <c r="I30" s="1" t="str">
        <f t="shared" si="0"/>
        <v>1-C2</v>
      </c>
      <c r="J30" s="2"/>
      <c r="K30" s="1"/>
      <c r="L30" s="2"/>
      <c r="M30" s="1"/>
      <c r="N30" s="2"/>
      <c r="O30" s="1"/>
      <c r="P30" s="2"/>
      <c r="Q30" s="1"/>
      <c r="R30" s="2"/>
      <c r="S30" s="1"/>
      <c r="T30" s="2"/>
      <c r="U30" s="1"/>
      <c r="V30" s="2"/>
      <c r="W30" s="1"/>
      <c r="X30" s="2"/>
      <c r="Y30" s="1"/>
      <c r="Z30" s="2"/>
      <c r="AA30" s="1"/>
      <c r="AB30" s="2"/>
      <c r="AC30" s="1"/>
      <c r="AD30" s="2"/>
      <c r="AE30" s="1"/>
      <c r="AF30" s="2"/>
      <c r="AG30" s="1"/>
      <c r="AH30" s="2"/>
      <c r="AI30" s="1"/>
      <c r="AJ30" s="2"/>
      <c r="AK30" s="1"/>
      <c r="AL30" s="2"/>
      <c r="AM30" s="1"/>
      <c r="AN30" s="2"/>
      <c r="AO30" s="1"/>
      <c r="AP30" s="2"/>
      <c r="AQ30" s="1"/>
      <c r="AR30" s="2"/>
      <c r="AS30" s="1"/>
      <c r="AT30" s="2"/>
      <c r="AU30" s="1"/>
      <c r="AV30" s="2"/>
      <c r="AW30" s="1"/>
      <c r="AX30" s="2"/>
      <c r="AY30" s="1"/>
      <c r="AZ30" s="2"/>
      <c r="BA30" s="1"/>
      <c r="BB30" s="2"/>
      <c r="BC30" s="1"/>
    </row>
    <row r="31" spans="4:55" x14ac:dyDescent="0.25">
      <c r="D31" s="2" t="s">
        <v>5</v>
      </c>
      <c r="E31" s="1" t="s">
        <v>349</v>
      </c>
      <c r="G31" t="s">
        <v>506</v>
      </c>
      <c r="H31" s="2" t="s">
        <v>2</v>
      </c>
      <c r="I31" s="1" t="str">
        <f t="shared" si="0"/>
        <v>1-C3</v>
      </c>
      <c r="J31" s="2"/>
      <c r="K31" s="1"/>
      <c r="L31" s="2"/>
      <c r="M31" s="1"/>
      <c r="N31" s="2"/>
      <c r="O31" s="1"/>
      <c r="P31" s="2"/>
      <c r="Q31" s="1"/>
      <c r="R31" s="2"/>
      <c r="S31" s="1"/>
      <c r="T31" s="2"/>
      <c r="U31" s="1"/>
      <c r="V31" s="2"/>
      <c r="W31" s="1"/>
      <c r="X31" s="2"/>
      <c r="Y31" s="1"/>
      <c r="Z31" s="2"/>
      <c r="AA31" s="1"/>
      <c r="AB31" s="2"/>
      <c r="AC31" s="1"/>
      <c r="AD31" s="2"/>
      <c r="AE31" s="1"/>
      <c r="AF31" s="2"/>
      <c r="AG31" s="1"/>
      <c r="AH31" s="2"/>
      <c r="AI31" s="1"/>
      <c r="AJ31" s="2"/>
      <c r="AK31" s="1"/>
      <c r="AL31" s="2"/>
      <c r="AM31" s="1"/>
      <c r="AN31" s="2"/>
      <c r="AO31" s="1"/>
      <c r="AP31" s="2"/>
      <c r="AQ31" s="1"/>
      <c r="AR31" s="2"/>
      <c r="AS31" s="1"/>
      <c r="AT31" s="2"/>
      <c r="AU31" s="1"/>
      <c r="AV31" s="2"/>
      <c r="AW31" s="1"/>
      <c r="AX31" s="2"/>
      <c r="AY31" s="1"/>
      <c r="AZ31" s="2"/>
      <c r="BA31" s="1"/>
      <c r="BB31" s="2"/>
      <c r="BC31" s="1"/>
    </row>
    <row r="32" spans="4:55" x14ac:dyDescent="0.25">
      <c r="D32" s="2" t="s">
        <v>5</v>
      </c>
      <c r="E32" s="1" t="s">
        <v>348</v>
      </c>
      <c r="G32" t="s">
        <v>504</v>
      </c>
      <c r="H32" s="2" t="s">
        <v>2</v>
      </c>
      <c r="I32" s="1" t="str">
        <f t="shared" si="0"/>
        <v>1-C4</v>
      </c>
      <c r="J32" s="2"/>
      <c r="K32" s="1"/>
      <c r="L32" s="2"/>
      <c r="M32" s="1"/>
      <c r="N32" s="2"/>
      <c r="O32" s="1"/>
      <c r="P32" s="2"/>
      <c r="Q32" s="1"/>
      <c r="R32" s="2"/>
      <c r="S32" s="1"/>
      <c r="T32" s="2"/>
      <c r="U32" s="1"/>
      <c r="V32" s="2"/>
      <c r="W32" s="1"/>
      <c r="X32" s="2"/>
      <c r="Y32" s="1"/>
      <c r="Z32" s="2"/>
      <c r="AA32" s="1"/>
      <c r="AB32" s="2"/>
      <c r="AC32" s="1"/>
      <c r="AD32" s="2"/>
      <c r="AE32" s="1"/>
      <c r="AF32" s="2"/>
      <c r="AG32" s="1"/>
      <c r="AH32" s="2"/>
      <c r="AI32" s="1"/>
      <c r="AJ32" s="2"/>
      <c r="AK32" s="1"/>
      <c r="AL32" s="2"/>
      <c r="AM32" s="1"/>
      <c r="AN32" s="2"/>
      <c r="AO32" s="1"/>
      <c r="AP32" s="2"/>
      <c r="AQ32" s="1"/>
      <c r="AR32" s="2"/>
      <c r="AS32" s="1"/>
      <c r="AT32" s="2"/>
      <c r="AU32" s="1"/>
      <c r="AV32" s="2"/>
      <c r="AW32" s="1"/>
      <c r="AX32" s="2"/>
      <c r="AY32" s="1"/>
      <c r="AZ32" s="2"/>
      <c r="BA32" s="1"/>
      <c r="BB32" s="2"/>
      <c r="BC32" s="1"/>
    </row>
    <row r="33" spans="4:55" x14ac:dyDescent="0.25">
      <c r="D33" s="2" t="s">
        <v>1</v>
      </c>
      <c r="E33" s="1" t="s">
        <v>480</v>
      </c>
      <c r="G33" t="s">
        <v>502</v>
      </c>
      <c r="H33" s="2" t="s">
        <v>2</v>
      </c>
      <c r="I33" s="1" t="str">
        <f t="shared" si="0"/>
        <v>1-C5</v>
      </c>
      <c r="J33" s="2"/>
      <c r="K33" s="1"/>
      <c r="L33" s="2"/>
      <c r="M33" s="1"/>
      <c r="N33" s="2"/>
      <c r="O33" s="1"/>
      <c r="P33" s="2"/>
      <c r="Q33" s="1"/>
      <c r="R33" s="2"/>
      <c r="S33" s="1"/>
      <c r="T33" s="2"/>
      <c r="U33" s="1"/>
      <c r="V33" s="2"/>
      <c r="W33" s="1"/>
      <c r="X33" s="2"/>
      <c r="Y33" s="1"/>
      <c r="Z33" s="2"/>
      <c r="AA33" s="1"/>
      <c r="AB33" s="2"/>
      <c r="AC33" s="1"/>
      <c r="AD33" s="2"/>
      <c r="AE33" s="1"/>
      <c r="AF33" s="2"/>
      <c r="AG33" s="1"/>
      <c r="AH33" s="2"/>
      <c r="AI33" s="1"/>
      <c r="AJ33" s="2"/>
      <c r="AK33" s="1"/>
      <c r="AL33" s="2"/>
      <c r="AM33" s="1"/>
      <c r="AN33" s="2"/>
      <c r="AO33" s="1"/>
      <c r="AP33" s="2"/>
      <c r="AQ33" s="1"/>
      <c r="AR33" s="2"/>
      <c r="AS33" s="1"/>
      <c r="AT33" s="2"/>
      <c r="AU33" s="1"/>
      <c r="AV33" s="2"/>
      <c r="AW33" s="1"/>
      <c r="AX33" s="2"/>
      <c r="AY33" s="1"/>
      <c r="AZ33" s="2"/>
      <c r="BA33" s="1"/>
      <c r="BB33" s="2"/>
      <c r="BC33" s="1"/>
    </row>
    <row r="34" spans="4:55" x14ac:dyDescent="0.25">
      <c r="D34" s="2" t="s">
        <v>1</v>
      </c>
      <c r="E34" s="1" t="s">
        <v>479</v>
      </c>
      <c r="G34" t="s">
        <v>500</v>
      </c>
      <c r="H34" s="2" t="s">
        <v>2</v>
      </c>
      <c r="I34" s="1" t="str">
        <f t="shared" si="0"/>
        <v>1-C6</v>
      </c>
      <c r="J34" s="2"/>
      <c r="K34" s="1"/>
      <c r="L34" s="2"/>
      <c r="M34" s="1"/>
      <c r="N34" s="2"/>
      <c r="O34" s="1"/>
      <c r="P34" s="2"/>
      <c r="Q34" s="1"/>
      <c r="R34" s="2"/>
      <c r="S34" s="1"/>
      <c r="T34" s="2"/>
      <c r="U34" s="1"/>
      <c r="V34" s="2"/>
      <c r="W34" s="1"/>
      <c r="X34" s="2"/>
      <c r="Y34" s="1"/>
      <c r="Z34" s="2"/>
      <c r="AA34" s="1"/>
      <c r="AB34" s="2"/>
      <c r="AC34" s="1"/>
      <c r="AD34" s="2"/>
      <c r="AE34" s="1"/>
      <c r="AF34" s="2"/>
      <c r="AG34" s="1"/>
      <c r="AH34" s="2"/>
      <c r="AI34" s="1"/>
      <c r="AJ34" s="2"/>
      <c r="AK34" s="1"/>
      <c r="AL34" s="2"/>
      <c r="AM34" s="1"/>
      <c r="AN34" s="2"/>
      <c r="AO34" s="1"/>
      <c r="AP34" s="2"/>
      <c r="AQ34" s="1"/>
      <c r="AR34" s="2"/>
      <c r="AS34" s="1"/>
      <c r="AT34" s="2"/>
      <c r="AU34" s="1"/>
      <c r="AV34" s="2"/>
      <c r="AW34" s="1"/>
      <c r="AX34" s="2"/>
      <c r="AY34" s="1"/>
      <c r="AZ34" s="2"/>
      <c r="BA34" s="1"/>
      <c r="BB34" s="2"/>
      <c r="BC34" s="1"/>
    </row>
    <row r="35" spans="4:55" x14ac:dyDescent="0.25">
      <c r="D35" s="2" t="s">
        <v>1</v>
      </c>
      <c r="E35" s="1" t="s">
        <v>478</v>
      </c>
      <c r="G35" t="s">
        <v>498</v>
      </c>
      <c r="H35" s="2" t="s">
        <v>2</v>
      </c>
      <c r="I35" s="1" t="str">
        <f t="shared" si="0"/>
        <v>1-C7</v>
      </c>
      <c r="J35" s="2"/>
      <c r="K35" s="1"/>
      <c r="L35" s="2"/>
      <c r="M35" s="1"/>
      <c r="N35" s="2"/>
      <c r="O35" s="1"/>
      <c r="P35" s="2"/>
      <c r="Q35" s="1"/>
      <c r="R35" s="2"/>
      <c r="S35" s="1"/>
      <c r="T35" s="2"/>
      <c r="U35" s="1"/>
      <c r="V35" s="2"/>
      <c r="W35" s="1"/>
      <c r="X35" s="2"/>
      <c r="Y35" s="1"/>
      <c r="Z35" s="2"/>
      <c r="AA35" s="1"/>
      <c r="AB35" s="2"/>
      <c r="AC35" s="1"/>
      <c r="AD35" s="2"/>
      <c r="AE35" s="1"/>
      <c r="AF35" s="2"/>
      <c r="AG35" s="1"/>
      <c r="AH35" s="2"/>
      <c r="AI35" s="1"/>
      <c r="AJ35" s="2"/>
      <c r="AK35" s="1"/>
      <c r="AL35" s="2"/>
      <c r="AM35" s="1"/>
      <c r="AN35" s="2"/>
      <c r="AO35" s="1"/>
      <c r="AP35" s="2"/>
      <c r="AQ35" s="1"/>
      <c r="AR35" s="2"/>
      <c r="AS35" s="1"/>
      <c r="AT35" s="2"/>
      <c r="AU35" s="1"/>
      <c r="AV35" s="2"/>
      <c r="AW35" s="1"/>
      <c r="AX35" s="2"/>
      <c r="AY35" s="1"/>
      <c r="AZ35" s="2"/>
      <c r="BA35" s="1"/>
      <c r="BB35" s="2"/>
      <c r="BC35" s="1"/>
    </row>
    <row r="36" spans="4:55" x14ac:dyDescent="0.25">
      <c r="D36" s="2" t="s">
        <v>1</v>
      </c>
      <c r="E36" s="1" t="s">
        <v>477</v>
      </c>
      <c r="G36" t="s">
        <v>496</v>
      </c>
      <c r="H36" s="2" t="s">
        <v>2</v>
      </c>
      <c r="I36" s="1" t="str">
        <f t="shared" si="0"/>
        <v>1-C8</v>
      </c>
      <c r="J36" s="2"/>
      <c r="K36" s="1"/>
      <c r="L36" s="2"/>
      <c r="M36" s="1"/>
      <c r="N36" s="2"/>
      <c r="O36" s="1"/>
      <c r="P36" s="2"/>
      <c r="Q36" s="1"/>
      <c r="R36" s="2"/>
      <c r="S36" s="1"/>
      <c r="T36" s="2"/>
      <c r="U36" s="1"/>
      <c r="V36" s="2"/>
      <c r="W36" s="1"/>
      <c r="X36" s="2"/>
      <c r="Y36" s="1"/>
      <c r="Z36" s="2"/>
      <c r="AA36" s="1"/>
      <c r="AB36" s="2"/>
      <c r="AC36" s="1"/>
      <c r="AD36" s="2"/>
      <c r="AE36" s="1"/>
      <c r="AF36" s="2"/>
      <c r="AG36" s="1"/>
      <c r="AH36" s="2"/>
      <c r="AI36" s="1"/>
      <c r="AJ36" s="2"/>
      <c r="AK36" s="1"/>
      <c r="AL36" s="2"/>
      <c r="AM36" s="1"/>
      <c r="AN36" s="2"/>
      <c r="AO36" s="1"/>
      <c r="AP36" s="2"/>
      <c r="AQ36" s="1"/>
      <c r="AR36" s="2"/>
      <c r="AS36" s="1"/>
      <c r="AT36" s="2"/>
      <c r="AU36" s="1"/>
      <c r="AV36" s="2"/>
      <c r="AW36" s="1"/>
      <c r="AX36" s="2"/>
      <c r="AY36" s="1"/>
      <c r="AZ36" s="2"/>
      <c r="BA36" s="1"/>
      <c r="BB36" s="2"/>
      <c r="BC36" s="1"/>
    </row>
    <row r="37" spans="4:55" x14ac:dyDescent="0.25">
      <c r="D37" s="2" t="s">
        <v>5</v>
      </c>
      <c r="E37" s="1" t="s">
        <v>347</v>
      </c>
      <c r="G37" t="s">
        <v>494</v>
      </c>
      <c r="H37" s="2" t="s">
        <v>2</v>
      </c>
      <c r="I37" s="1" t="str">
        <f t="shared" si="0"/>
        <v>1-C9</v>
      </c>
      <c r="J37" s="2"/>
      <c r="K37" s="1"/>
      <c r="L37" s="2"/>
      <c r="M37" s="1"/>
      <c r="N37" s="2"/>
      <c r="O37" s="1"/>
      <c r="P37" s="2"/>
      <c r="Q37" s="1"/>
      <c r="R37" s="2"/>
      <c r="S37" s="1"/>
      <c r="T37" s="2"/>
      <c r="U37" s="1"/>
      <c r="V37" s="2"/>
      <c r="W37" s="1"/>
      <c r="X37" s="2"/>
      <c r="Y37" s="1"/>
      <c r="Z37" s="2"/>
      <c r="AA37" s="1"/>
      <c r="AB37" s="2"/>
      <c r="AC37" s="1"/>
      <c r="AD37" s="2"/>
      <c r="AE37" s="1"/>
      <c r="AF37" s="2"/>
      <c r="AG37" s="1"/>
      <c r="AH37" s="2"/>
      <c r="AI37" s="1"/>
      <c r="AJ37" s="2"/>
      <c r="AK37" s="1"/>
      <c r="AL37" s="2"/>
      <c r="AM37" s="1"/>
      <c r="AN37" s="2"/>
      <c r="AO37" s="1"/>
      <c r="AP37" s="2"/>
      <c r="AQ37" s="1"/>
      <c r="AR37" s="2"/>
      <c r="AS37" s="1"/>
      <c r="AT37" s="2"/>
      <c r="AU37" s="1"/>
      <c r="AV37" s="2"/>
      <c r="AW37" s="1"/>
      <c r="AX37" s="2"/>
      <c r="AY37" s="1"/>
      <c r="AZ37" s="2"/>
      <c r="BA37" s="1"/>
      <c r="BB37" s="2"/>
      <c r="BC37" s="1"/>
    </row>
    <row r="38" spans="4:55" x14ac:dyDescent="0.25">
      <c r="D38" s="2" t="s">
        <v>5</v>
      </c>
      <c r="E38" s="1" t="s">
        <v>346</v>
      </c>
      <c r="G38" t="s">
        <v>492</v>
      </c>
      <c r="H38" s="2" t="s">
        <v>2</v>
      </c>
      <c r="I38" s="1" t="str">
        <f t="shared" si="0"/>
        <v>1-C10</v>
      </c>
      <c r="J38" s="2"/>
      <c r="K38" s="1"/>
      <c r="L38" s="2"/>
      <c r="M38" s="1"/>
      <c r="N38" s="2"/>
      <c r="O38" s="1"/>
      <c r="P38" s="2"/>
      <c r="Q38" s="1"/>
      <c r="R38" s="2"/>
      <c r="S38" s="1"/>
      <c r="T38" s="2"/>
      <c r="U38" s="1"/>
      <c r="V38" s="2"/>
      <c r="W38" s="1"/>
      <c r="X38" s="2"/>
      <c r="Y38" s="1"/>
      <c r="Z38" s="2"/>
      <c r="AA38" s="1"/>
      <c r="AB38" s="2"/>
      <c r="AC38" s="1"/>
      <c r="AD38" s="2"/>
      <c r="AE38" s="1"/>
      <c r="AF38" s="2"/>
      <c r="AG38" s="1"/>
      <c r="AH38" s="2"/>
      <c r="AI38" s="1"/>
      <c r="AJ38" s="2"/>
      <c r="AK38" s="1"/>
      <c r="AL38" s="2"/>
      <c r="AM38" s="1"/>
      <c r="AN38" s="2"/>
      <c r="AO38" s="1"/>
      <c r="AP38" s="2"/>
      <c r="AQ38" s="1"/>
      <c r="AR38" s="2"/>
      <c r="AS38" s="1"/>
      <c r="AT38" s="2"/>
      <c r="AU38" s="1"/>
      <c r="AV38" s="2"/>
      <c r="AW38" s="1"/>
      <c r="AX38" s="2"/>
      <c r="AY38" s="1"/>
      <c r="AZ38" s="2"/>
      <c r="BA38" s="1"/>
      <c r="BB38" s="2"/>
      <c r="BC38" s="1"/>
    </row>
    <row r="39" spans="4:55" x14ac:dyDescent="0.25">
      <c r="D39" s="2" t="s">
        <v>1</v>
      </c>
      <c r="E39" s="1" t="s">
        <v>476</v>
      </c>
      <c r="G39" t="s">
        <v>490</v>
      </c>
      <c r="H39" s="2" t="s">
        <v>0</v>
      </c>
      <c r="I39" s="1"/>
      <c r="J39" s="2"/>
      <c r="K39" s="1"/>
      <c r="L39" s="2"/>
      <c r="M39" s="1"/>
      <c r="N39" s="2"/>
      <c r="O39" s="1"/>
      <c r="P39" s="2"/>
      <c r="Q39" s="1"/>
      <c r="R39" s="2"/>
      <c r="S39" s="1"/>
      <c r="T39" s="2"/>
      <c r="U39" s="1"/>
      <c r="V39" s="2"/>
      <c r="W39" s="1"/>
      <c r="X39" s="2"/>
      <c r="Y39" s="1"/>
      <c r="Z39" s="2"/>
      <c r="AA39" s="1"/>
      <c r="AB39" s="2"/>
      <c r="AC39" s="1"/>
      <c r="AD39" s="2"/>
      <c r="AE39" s="1"/>
      <c r="AF39" s="2"/>
      <c r="AG39" s="1"/>
      <c r="AH39" s="2"/>
      <c r="AI39" s="1"/>
      <c r="AJ39" s="2"/>
      <c r="AK39" s="1"/>
      <c r="AL39" s="2"/>
      <c r="AM39" s="1"/>
      <c r="AN39" s="2"/>
      <c r="AO39" s="1"/>
      <c r="AP39" s="2" t="str">
        <f t="shared" ref="AP39:AP52" si="37">$H39</f>
        <v>Static Hydraulic Core</v>
      </c>
      <c r="AQ39" s="1" t="str">
        <f t="shared" ref="AQ39:AQ52" si="38">AQ$2&amp;"-"&amp;$G39</f>
        <v>18-IMV</v>
      </c>
      <c r="AR39" s="2" t="str">
        <f t="shared" ref="AR39:AR52" si="39">$H39</f>
        <v>Static Hydraulic Core</v>
      </c>
      <c r="AS39" s="1" t="str">
        <f t="shared" ref="AS39:AS52" si="40">AS$2&amp;"-"&amp;$G39</f>
        <v>19-IMV</v>
      </c>
      <c r="AT39" s="2" t="str">
        <f t="shared" ref="AT39:AT52" si="41">$H39</f>
        <v>Static Hydraulic Core</v>
      </c>
      <c r="AU39" s="1" t="str">
        <f t="shared" ref="AU39:AU52" si="42">AU$2&amp;"-"&amp;$G39</f>
        <v>20-IMV</v>
      </c>
      <c r="AV39" s="2"/>
      <c r="AW39" s="1"/>
      <c r="AX39" s="2"/>
      <c r="AY39" s="1"/>
      <c r="AZ39" s="2"/>
      <c r="BA39" s="1"/>
      <c r="BB39" s="2"/>
      <c r="BC39" s="1"/>
    </row>
    <row r="40" spans="4:55" x14ac:dyDescent="0.25">
      <c r="D40" s="2" t="s">
        <v>1</v>
      </c>
      <c r="E40" s="1" t="s">
        <v>475</v>
      </c>
      <c r="G40" t="s">
        <v>488</v>
      </c>
      <c r="H40" s="2" t="s">
        <v>0</v>
      </c>
      <c r="I40" s="1"/>
      <c r="J40" s="2"/>
      <c r="K40" s="1"/>
      <c r="L40" s="2"/>
      <c r="M40" s="1"/>
      <c r="N40" s="2"/>
      <c r="O40" s="1"/>
      <c r="P40" s="2"/>
      <c r="Q40" s="1"/>
      <c r="R40" s="2"/>
      <c r="S40" s="1"/>
      <c r="T40" s="2"/>
      <c r="U40" s="1"/>
      <c r="V40" s="2"/>
      <c r="W40" s="1"/>
      <c r="X40" s="2"/>
      <c r="Y40" s="1"/>
      <c r="Z40" s="2"/>
      <c r="AA40" s="1"/>
      <c r="AB40" s="2"/>
      <c r="AC40" s="1"/>
      <c r="AD40" s="2"/>
      <c r="AE40" s="1"/>
      <c r="AF40" s="2"/>
      <c r="AG40" s="1"/>
      <c r="AH40" s="2"/>
      <c r="AI40" s="1"/>
      <c r="AJ40" s="2"/>
      <c r="AK40" s="1"/>
      <c r="AL40" s="2"/>
      <c r="AM40" s="1"/>
      <c r="AN40" s="2"/>
      <c r="AO40" s="1"/>
      <c r="AP40" s="2" t="str">
        <f t="shared" si="37"/>
        <v>Static Hydraulic Core</v>
      </c>
      <c r="AQ40" s="1" t="str">
        <f t="shared" si="38"/>
        <v>18-PWV</v>
      </c>
      <c r="AR40" s="2" t="str">
        <f t="shared" si="39"/>
        <v>Static Hydraulic Core</v>
      </c>
      <c r="AS40" s="1" t="str">
        <f t="shared" si="40"/>
        <v>19-PWV</v>
      </c>
      <c r="AT40" s="2" t="str">
        <f t="shared" si="41"/>
        <v>Static Hydraulic Core</v>
      </c>
      <c r="AU40" s="1" t="str">
        <f t="shared" si="42"/>
        <v>20-PWV</v>
      </c>
      <c r="AV40" s="2"/>
      <c r="AW40" s="1"/>
      <c r="AX40" s="2"/>
      <c r="AY40" s="1"/>
      <c r="AZ40" s="2"/>
      <c r="BA40" s="1"/>
      <c r="BB40" s="2"/>
      <c r="BC40" s="1"/>
    </row>
    <row r="41" spans="4:55" x14ac:dyDescent="0.25">
      <c r="D41" s="2" t="s">
        <v>1</v>
      </c>
      <c r="E41" s="1" t="s">
        <v>473</v>
      </c>
      <c r="G41" t="s">
        <v>487</v>
      </c>
      <c r="H41" s="2" t="s">
        <v>0</v>
      </c>
      <c r="I41" s="1"/>
      <c r="J41" s="2"/>
      <c r="K41" s="1"/>
      <c r="L41" s="2"/>
      <c r="M41" s="1"/>
      <c r="N41" s="2"/>
      <c r="O41" s="1"/>
      <c r="P41" s="2"/>
      <c r="Q41" s="1"/>
      <c r="R41" s="2"/>
      <c r="S41" s="1"/>
      <c r="T41" s="2"/>
      <c r="U41" s="1"/>
      <c r="V41" s="2"/>
      <c r="W41" s="1"/>
      <c r="X41" s="2"/>
      <c r="Y41" s="1"/>
      <c r="Z41" s="2"/>
      <c r="AA41" s="1"/>
      <c r="AB41" s="2"/>
      <c r="AC41" s="1"/>
      <c r="AD41" s="2"/>
      <c r="AE41" s="1"/>
      <c r="AF41" s="2"/>
      <c r="AG41" s="1"/>
      <c r="AH41" s="2"/>
      <c r="AI41" s="1"/>
      <c r="AJ41" s="2"/>
      <c r="AK41" s="1"/>
      <c r="AL41" s="2"/>
      <c r="AM41" s="1"/>
      <c r="AN41" s="2"/>
      <c r="AO41" s="1"/>
      <c r="AP41" s="2" t="str">
        <f t="shared" si="37"/>
        <v>Static Hydraulic Core</v>
      </c>
      <c r="AQ41" s="1" t="str">
        <f t="shared" si="38"/>
        <v>18-AMV</v>
      </c>
      <c r="AR41" s="2" t="str">
        <f t="shared" si="39"/>
        <v>Static Hydraulic Core</v>
      </c>
      <c r="AS41" s="1" t="str">
        <f t="shared" si="40"/>
        <v>19-AMV</v>
      </c>
      <c r="AT41" s="2" t="str">
        <f t="shared" si="41"/>
        <v>Static Hydraulic Core</v>
      </c>
      <c r="AU41" s="1" t="str">
        <f t="shared" si="42"/>
        <v>20-AMV</v>
      </c>
      <c r="AV41" s="2"/>
      <c r="AW41" s="1"/>
      <c r="AX41" s="2"/>
      <c r="AY41" s="1"/>
      <c r="AZ41" s="2"/>
      <c r="BA41" s="1"/>
      <c r="BB41" s="2"/>
      <c r="BC41" s="1"/>
    </row>
    <row r="42" spans="4:55" x14ac:dyDescent="0.25">
      <c r="D42" s="2" t="s">
        <v>1</v>
      </c>
      <c r="E42" s="1" t="s">
        <v>471</v>
      </c>
      <c r="G42" t="s">
        <v>486</v>
      </c>
      <c r="H42" s="2" t="s">
        <v>0</v>
      </c>
      <c r="I42" s="1"/>
      <c r="J42" s="2"/>
      <c r="K42" s="1"/>
      <c r="L42" s="2"/>
      <c r="M42" s="1"/>
      <c r="N42" s="2"/>
      <c r="O42" s="1"/>
      <c r="P42" s="2"/>
      <c r="Q42" s="1"/>
      <c r="R42" s="2"/>
      <c r="S42" s="1"/>
      <c r="T42" s="2"/>
      <c r="U42" s="1"/>
      <c r="V42" s="2"/>
      <c r="W42" s="1"/>
      <c r="X42" s="2"/>
      <c r="Y42" s="1"/>
      <c r="Z42" s="2"/>
      <c r="AA42" s="1"/>
      <c r="AB42" s="2"/>
      <c r="AC42" s="1"/>
      <c r="AD42" s="2"/>
      <c r="AE42" s="1"/>
      <c r="AF42" s="2"/>
      <c r="AG42" s="1"/>
      <c r="AH42" s="2"/>
      <c r="AI42" s="1"/>
      <c r="AJ42" s="2"/>
      <c r="AK42" s="1"/>
      <c r="AL42" s="2"/>
      <c r="AM42" s="1"/>
      <c r="AN42" s="2"/>
      <c r="AO42" s="1"/>
      <c r="AP42" s="2" t="str">
        <f t="shared" si="37"/>
        <v>Static Hydraulic Core</v>
      </c>
      <c r="AQ42" s="1" t="str">
        <f t="shared" si="38"/>
        <v>18-XOV</v>
      </c>
      <c r="AR42" s="2" t="str">
        <f t="shared" si="39"/>
        <v>Static Hydraulic Core</v>
      </c>
      <c r="AS42" s="1" t="str">
        <f t="shared" si="40"/>
        <v>19-XOV</v>
      </c>
      <c r="AT42" s="2" t="str">
        <f t="shared" si="41"/>
        <v>Static Hydraulic Core</v>
      </c>
      <c r="AU42" s="1" t="str">
        <f t="shared" si="42"/>
        <v>20-XOV</v>
      </c>
      <c r="AV42" s="2"/>
      <c r="AW42" s="1"/>
      <c r="AX42" s="2"/>
      <c r="AY42" s="1"/>
      <c r="AZ42" s="2"/>
      <c r="BA42" s="1"/>
      <c r="BB42" s="2"/>
      <c r="BC42" s="1"/>
    </row>
    <row r="43" spans="4:55" x14ac:dyDescent="0.25">
      <c r="D43" s="2" t="s">
        <v>5</v>
      </c>
      <c r="E43" s="1" t="s">
        <v>345</v>
      </c>
      <c r="G43" t="s">
        <v>485</v>
      </c>
      <c r="H43" s="2" t="s">
        <v>0</v>
      </c>
      <c r="I43" s="1"/>
      <c r="J43" s="2"/>
      <c r="K43" s="1"/>
      <c r="L43" s="2"/>
      <c r="M43" s="1"/>
      <c r="N43" s="2"/>
      <c r="O43" s="1"/>
      <c r="P43" s="2"/>
      <c r="Q43" s="1"/>
      <c r="R43" s="2"/>
      <c r="S43" s="1"/>
      <c r="T43" s="2"/>
      <c r="U43" s="1"/>
      <c r="V43" s="2"/>
      <c r="W43" s="1"/>
      <c r="X43" s="2"/>
      <c r="Y43" s="1"/>
      <c r="Z43" s="2"/>
      <c r="AA43" s="1"/>
      <c r="AB43" s="2"/>
      <c r="AC43" s="1"/>
      <c r="AD43" s="2"/>
      <c r="AE43" s="1"/>
      <c r="AF43" s="2"/>
      <c r="AG43" s="1"/>
      <c r="AH43" s="2"/>
      <c r="AI43" s="1"/>
      <c r="AJ43" s="2"/>
      <c r="AK43" s="1"/>
      <c r="AL43" s="2"/>
      <c r="AM43" s="1"/>
      <c r="AN43" s="2"/>
      <c r="AO43" s="1"/>
      <c r="AP43" s="2" t="str">
        <f t="shared" si="37"/>
        <v>Static Hydraulic Core</v>
      </c>
      <c r="AQ43" s="1" t="str">
        <f t="shared" si="38"/>
        <v>18-SCSSV</v>
      </c>
      <c r="AR43" s="2" t="str">
        <f t="shared" si="39"/>
        <v>Static Hydraulic Core</v>
      </c>
      <c r="AS43" s="1" t="str">
        <f t="shared" si="40"/>
        <v>19-SCSSV</v>
      </c>
      <c r="AT43" s="2" t="str">
        <f t="shared" si="41"/>
        <v>Static Hydraulic Core</v>
      </c>
      <c r="AU43" s="1" t="str">
        <f t="shared" si="42"/>
        <v>20-SCSSV</v>
      </c>
      <c r="AV43" s="2"/>
      <c r="AW43" s="1"/>
      <c r="AX43" s="2"/>
      <c r="AY43" s="1"/>
      <c r="AZ43" s="2"/>
      <c r="BA43" s="1"/>
      <c r="BB43" s="2"/>
      <c r="BC43" s="1"/>
    </row>
    <row r="44" spans="4:55" x14ac:dyDescent="0.25">
      <c r="D44" s="2" t="s">
        <v>5</v>
      </c>
      <c r="E44" s="1" t="s">
        <v>344</v>
      </c>
      <c r="G44" t="s">
        <v>454</v>
      </c>
      <c r="H44" s="2" t="s">
        <v>6</v>
      </c>
      <c r="I44" s="1"/>
      <c r="J44" s="2"/>
      <c r="K44" s="1"/>
      <c r="L44" s="2"/>
      <c r="M44" s="1"/>
      <c r="N44" s="2"/>
      <c r="O44" s="1"/>
      <c r="P44" s="2"/>
      <c r="Q44" s="1"/>
      <c r="R44" s="2"/>
      <c r="S44" s="1"/>
      <c r="T44" s="2"/>
      <c r="U44" s="1"/>
      <c r="V44" s="2"/>
      <c r="W44" s="1"/>
      <c r="X44" s="2"/>
      <c r="Y44" s="1"/>
      <c r="Z44" s="2"/>
      <c r="AA44" s="1"/>
      <c r="AB44" s="2"/>
      <c r="AC44" s="1"/>
      <c r="AD44" s="2"/>
      <c r="AE44" s="1"/>
      <c r="AF44" s="2"/>
      <c r="AG44" s="1"/>
      <c r="AH44" s="2"/>
      <c r="AI44" s="1"/>
      <c r="AJ44" s="2"/>
      <c r="AK44" s="1"/>
      <c r="AL44" s="2"/>
      <c r="AM44" s="1"/>
      <c r="AN44" s="2"/>
      <c r="AO44" s="1"/>
      <c r="AP44" s="2" t="str">
        <f t="shared" si="37"/>
        <v>Static Electric Core</v>
      </c>
      <c r="AQ44" s="1" t="str">
        <f t="shared" si="38"/>
        <v>18-PRESSURE</v>
      </c>
      <c r="AR44" s="2" t="str">
        <f t="shared" si="39"/>
        <v>Static Electric Core</v>
      </c>
      <c r="AS44" s="1" t="str">
        <f t="shared" si="40"/>
        <v>19-PRESSURE</v>
      </c>
      <c r="AT44" s="2" t="str">
        <f t="shared" si="41"/>
        <v>Static Electric Core</v>
      </c>
      <c r="AU44" s="1" t="str">
        <f t="shared" si="42"/>
        <v>20-PRESSURE</v>
      </c>
      <c r="AV44" s="2"/>
      <c r="AW44" s="1"/>
      <c r="AX44" s="2"/>
      <c r="AY44" s="1"/>
      <c r="AZ44" s="2"/>
      <c r="BA44" s="1"/>
      <c r="BB44" s="2"/>
      <c r="BC44" s="1"/>
    </row>
    <row r="45" spans="4:55" x14ac:dyDescent="0.25">
      <c r="D45" s="2" t="s">
        <v>6</v>
      </c>
      <c r="E45" s="1" t="s">
        <v>466</v>
      </c>
      <c r="G45" t="s">
        <v>453</v>
      </c>
      <c r="H45" s="2" t="s">
        <v>6</v>
      </c>
      <c r="I45" s="1"/>
      <c r="J45" s="2"/>
      <c r="K45" s="1"/>
      <c r="L45" s="2"/>
      <c r="M45" s="1"/>
      <c r="N45" s="2"/>
      <c r="O45" s="1"/>
      <c r="P45" s="2"/>
      <c r="Q45" s="1"/>
      <c r="R45" s="2"/>
      <c r="S45" s="1"/>
      <c r="T45" s="2"/>
      <c r="U45" s="1"/>
      <c r="V45" s="2"/>
      <c r="W45" s="1"/>
      <c r="X45" s="2"/>
      <c r="Y45" s="1"/>
      <c r="Z45" s="2"/>
      <c r="AA45" s="1"/>
      <c r="AB45" s="2"/>
      <c r="AC45" s="1"/>
      <c r="AD45" s="2"/>
      <c r="AE45" s="1"/>
      <c r="AF45" s="2"/>
      <c r="AG45" s="1"/>
      <c r="AH45" s="2"/>
      <c r="AI45" s="1"/>
      <c r="AJ45" s="2"/>
      <c r="AK45" s="1"/>
      <c r="AL45" s="2"/>
      <c r="AM45" s="1"/>
      <c r="AN45" s="2"/>
      <c r="AO45" s="1"/>
      <c r="AP45" s="2" t="str">
        <f t="shared" si="37"/>
        <v>Static Electric Core</v>
      </c>
      <c r="AQ45" s="1" t="str">
        <f t="shared" si="38"/>
        <v>18-WIFLOW</v>
      </c>
      <c r="AR45" s="2" t="str">
        <f t="shared" si="39"/>
        <v>Static Electric Core</v>
      </c>
      <c r="AS45" s="1" t="str">
        <f t="shared" si="40"/>
        <v>19-WIFLOW</v>
      </c>
      <c r="AT45" s="2" t="str">
        <f t="shared" si="41"/>
        <v>Static Electric Core</v>
      </c>
      <c r="AU45" s="1" t="str">
        <f t="shared" si="42"/>
        <v>20-WIFLOW</v>
      </c>
      <c r="AV45" s="2"/>
      <c r="AW45" s="1"/>
      <c r="AX45" s="2"/>
      <c r="AY45" s="1"/>
      <c r="AZ45" s="2"/>
      <c r="BA45" s="1"/>
      <c r="BB45" s="2"/>
      <c r="BC45" s="1"/>
    </row>
    <row r="46" spans="4:55" x14ac:dyDescent="0.25">
      <c r="D46" s="2" t="s">
        <v>6</v>
      </c>
      <c r="E46" s="1" t="s">
        <v>465</v>
      </c>
      <c r="G46" t="s">
        <v>26</v>
      </c>
      <c r="H46" s="2" t="s">
        <v>1</v>
      </c>
      <c r="I46" s="1"/>
      <c r="J46" s="2"/>
      <c r="K46" s="1"/>
      <c r="L46" s="2"/>
      <c r="M46" s="1"/>
      <c r="N46" s="2"/>
      <c r="O46" s="1"/>
      <c r="P46" s="2"/>
      <c r="Q46" s="1"/>
      <c r="R46" s="2"/>
      <c r="S46" s="1"/>
      <c r="T46" s="2"/>
      <c r="U46" s="1"/>
      <c r="V46" s="2"/>
      <c r="W46" s="1"/>
      <c r="X46" s="2"/>
      <c r="Y46" s="1"/>
      <c r="Z46" s="2"/>
      <c r="AA46" s="1"/>
      <c r="AB46" s="2"/>
      <c r="AC46" s="1"/>
      <c r="AD46" s="2"/>
      <c r="AE46" s="1"/>
      <c r="AF46" s="2"/>
      <c r="AG46" s="1"/>
      <c r="AH46" s="2"/>
      <c r="AI46" s="1"/>
      <c r="AJ46" s="2"/>
      <c r="AK46" s="1"/>
      <c r="AL46" s="2"/>
      <c r="AM46" s="1"/>
      <c r="AN46" s="2"/>
      <c r="AO46" s="1"/>
      <c r="AP46" s="2" t="str">
        <f t="shared" si="37"/>
        <v>Hydraulic Coupling</v>
      </c>
      <c r="AQ46" s="1" t="str">
        <f t="shared" si="38"/>
        <v>18-D1</v>
      </c>
      <c r="AR46" s="2" t="str">
        <f t="shared" si="39"/>
        <v>Hydraulic Coupling</v>
      </c>
      <c r="AS46" s="1" t="str">
        <f t="shared" si="40"/>
        <v>19-D1</v>
      </c>
      <c r="AT46" s="2" t="str">
        <f t="shared" si="41"/>
        <v>Hydraulic Coupling</v>
      </c>
      <c r="AU46" s="1" t="str">
        <f t="shared" si="42"/>
        <v>20-D1</v>
      </c>
      <c r="AV46" s="2" t="str">
        <f t="shared" ref="AV46:AV52" si="43">$H46</f>
        <v>Hydraulic Coupling</v>
      </c>
      <c r="AW46" s="1" t="str">
        <f t="shared" ref="AW46:AW52" si="44">AW$2&amp;"-"&amp;$G46</f>
        <v>21-D1</v>
      </c>
      <c r="AX46" s="2"/>
      <c r="AY46" s="1"/>
      <c r="AZ46" s="2"/>
      <c r="BA46" s="1"/>
      <c r="BB46" s="2"/>
      <c r="BC46" s="1"/>
    </row>
    <row r="47" spans="4:55" x14ac:dyDescent="0.25">
      <c r="D47" s="2" t="s">
        <v>1</v>
      </c>
      <c r="E47" s="1" t="s">
        <v>464</v>
      </c>
      <c r="G47" t="s">
        <v>25</v>
      </c>
      <c r="H47" s="2" t="s">
        <v>1</v>
      </c>
      <c r="I47" s="1"/>
      <c r="J47" s="2"/>
      <c r="K47" s="1"/>
      <c r="L47" s="2"/>
      <c r="M47" s="1"/>
      <c r="N47" s="2"/>
      <c r="O47" s="1"/>
      <c r="P47" s="2"/>
      <c r="Q47" s="1"/>
      <c r="R47" s="2"/>
      <c r="S47" s="1"/>
      <c r="T47" s="2"/>
      <c r="U47" s="1"/>
      <c r="V47" s="2"/>
      <c r="W47" s="1"/>
      <c r="X47" s="2"/>
      <c r="Y47" s="1"/>
      <c r="Z47" s="2"/>
      <c r="AA47" s="1"/>
      <c r="AB47" s="2"/>
      <c r="AC47" s="1"/>
      <c r="AD47" s="2"/>
      <c r="AE47" s="1"/>
      <c r="AF47" s="2"/>
      <c r="AG47" s="1"/>
      <c r="AH47" s="2"/>
      <c r="AI47" s="1"/>
      <c r="AJ47" s="2"/>
      <c r="AK47" s="1"/>
      <c r="AL47" s="2"/>
      <c r="AM47" s="1"/>
      <c r="AN47" s="2"/>
      <c r="AO47" s="1"/>
      <c r="AP47" s="2" t="str">
        <f t="shared" si="37"/>
        <v>Hydraulic Coupling</v>
      </c>
      <c r="AQ47" s="1" t="str">
        <f t="shared" si="38"/>
        <v>18-D2</v>
      </c>
      <c r="AR47" s="2" t="str">
        <f t="shared" si="39"/>
        <v>Hydraulic Coupling</v>
      </c>
      <c r="AS47" s="1" t="str">
        <f t="shared" si="40"/>
        <v>19-D2</v>
      </c>
      <c r="AT47" s="2" t="str">
        <f t="shared" si="41"/>
        <v>Hydraulic Coupling</v>
      </c>
      <c r="AU47" s="1" t="str">
        <f t="shared" si="42"/>
        <v>20-D2</v>
      </c>
      <c r="AV47" s="2" t="str">
        <f t="shared" si="43"/>
        <v>Hydraulic Coupling</v>
      </c>
      <c r="AW47" s="1" t="str">
        <f t="shared" si="44"/>
        <v>21-D2</v>
      </c>
      <c r="AX47" s="2"/>
      <c r="AY47" s="1"/>
      <c r="AZ47" s="2"/>
      <c r="BA47" s="1"/>
      <c r="BB47" s="2"/>
      <c r="BC47" s="1"/>
    </row>
    <row r="48" spans="4:55" x14ac:dyDescent="0.25">
      <c r="D48" s="2" t="s">
        <v>1</v>
      </c>
      <c r="E48" s="1" t="s">
        <v>463</v>
      </c>
      <c r="G48" t="s">
        <v>23</v>
      </c>
      <c r="H48" s="2" t="s">
        <v>1</v>
      </c>
      <c r="I48" s="1"/>
      <c r="J48" s="2"/>
      <c r="K48" s="1"/>
      <c r="L48" s="2"/>
      <c r="M48" s="1"/>
      <c r="N48" s="2"/>
      <c r="O48" s="1"/>
      <c r="P48" s="2"/>
      <c r="Q48" s="1"/>
      <c r="R48" s="2"/>
      <c r="S48" s="1"/>
      <c r="T48" s="2"/>
      <c r="U48" s="1"/>
      <c r="V48" s="2"/>
      <c r="W48" s="1"/>
      <c r="X48" s="2"/>
      <c r="Y48" s="1"/>
      <c r="Z48" s="2"/>
      <c r="AA48" s="1"/>
      <c r="AB48" s="2"/>
      <c r="AC48" s="1"/>
      <c r="AD48" s="2"/>
      <c r="AE48" s="1"/>
      <c r="AF48" s="2"/>
      <c r="AG48" s="1"/>
      <c r="AH48" s="2"/>
      <c r="AI48" s="1"/>
      <c r="AJ48" s="2"/>
      <c r="AK48" s="1"/>
      <c r="AL48" s="2"/>
      <c r="AM48" s="1"/>
      <c r="AN48" s="2"/>
      <c r="AO48" s="1"/>
      <c r="AP48" s="2" t="str">
        <f t="shared" si="37"/>
        <v>Hydraulic Coupling</v>
      </c>
      <c r="AQ48" s="1" t="str">
        <f t="shared" si="38"/>
        <v>18-D3</v>
      </c>
      <c r="AR48" s="2" t="str">
        <f t="shared" si="39"/>
        <v>Hydraulic Coupling</v>
      </c>
      <c r="AS48" s="1" t="str">
        <f t="shared" si="40"/>
        <v>19-D3</v>
      </c>
      <c r="AT48" s="2" t="str">
        <f t="shared" si="41"/>
        <v>Hydraulic Coupling</v>
      </c>
      <c r="AU48" s="1" t="str">
        <f t="shared" si="42"/>
        <v>20-D3</v>
      </c>
      <c r="AV48" s="2" t="str">
        <f t="shared" si="43"/>
        <v>Hydraulic Coupling</v>
      </c>
      <c r="AW48" s="1" t="str">
        <f t="shared" si="44"/>
        <v>21-D3</v>
      </c>
      <c r="AX48" s="2"/>
      <c r="AY48" s="1"/>
      <c r="AZ48" s="2"/>
      <c r="BA48" s="1"/>
      <c r="BB48" s="2"/>
      <c r="BC48" s="1"/>
    </row>
    <row r="49" spans="4:55" x14ac:dyDescent="0.25">
      <c r="D49" s="2" t="s">
        <v>1</v>
      </c>
      <c r="E49" s="1" t="s">
        <v>461</v>
      </c>
      <c r="G49" t="s">
        <v>21</v>
      </c>
      <c r="H49" s="2" t="s">
        <v>1</v>
      </c>
      <c r="I49" s="1"/>
      <c r="J49" s="2"/>
      <c r="K49" s="1"/>
      <c r="L49" s="2"/>
      <c r="M49" s="1"/>
      <c r="N49" s="2"/>
      <c r="O49" s="1"/>
      <c r="P49" s="2"/>
      <c r="Q49" s="1"/>
      <c r="R49" s="2"/>
      <c r="S49" s="1"/>
      <c r="T49" s="2"/>
      <c r="U49" s="1"/>
      <c r="V49" s="2"/>
      <c r="W49" s="1"/>
      <c r="X49" s="2"/>
      <c r="Y49" s="1"/>
      <c r="Z49" s="2"/>
      <c r="AA49" s="1"/>
      <c r="AB49" s="2"/>
      <c r="AC49" s="1"/>
      <c r="AD49" s="2"/>
      <c r="AE49" s="1"/>
      <c r="AF49" s="2"/>
      <c r="AG49" s="1"/>
      <c r="AH49" s="2"/>
      <c r="AI49" s="1"/>
      <c r="AJ49" s="2"/>
      <c r="AK49" s="1"/>
      <c r="AL49" s="2"/>
      <c r="AM49" s="1"/>
      <c r="AN49" s="2"/>
      <c r="AO49" s="1"/>
      <c r="AP49" s="2" t="str">
        <f t="shared" si="37"/>
        <v>Hydraulic Coupling</v>
      </c>
      <c r="AQ49" s="1" t="str">
        <f t="shared" si="38"/>
        <v>18-D4</v>
      </c>
      <c r="AR49" s="2" t="str">
        <f t="shared" si="39"/>
        <v>Hydraulic Coupling</v>
      </c>
      <c r="AS49" s="1" t="str">
        <f t="shared" si="40"/>
        <v>19-D4</v>
      </c>
      <c r="AT49" s="2" t="str">
        <f t="shared" si="41"/>
        <v>Hydraulic Coupling</v>
      </c>
      <c r="AU49" s="1" t="str">
        <f t="shared" si="42"/>
        <v>20-D4</v>
      </c>
      <c r="AV49" s="2" t="str">
        <f t="shared" si="43"/>
        <v>Hydraulic Coupling</v>
      </c>
      <c r="AW49" s="1" t="str">
        <f t="shared" si="44"/>
        <v>21-D4</v>
      </c>
      <c r="AX49" s="2"/>
      <c r="AY49" s="1"/>
      <c r="AZ49" s="2"/>
      <c r="BA49" s="1"/>
      <c r="BB49" s="2"/>
      <c r="BC49" s="1"/>
    </row>
    <row r="50" spans="4:55" x14ac:dyDescent="0.25">
      <c r="D50" s="2" t="s">
        <v>1</v>
      </c>
      <c r="E50" s="1" t="s">
        <v>459</v>
      </c>
      <c r="G50" t="s">
        <v>18</v>
      </c>
      <c r="H50" s="2" t="s">
        <v>1</v>
      </c>
      <c r="I50" s="1"/>
      <c r="J50" s="2"/>
      <c r="K50" s="1"/>
      <c r="L50" s="2"/>
      <c r="M50" s="1"/>
      <c r="N50" s="2"/>
      <c r="O50" s="1"/>
      <c r="P50" s="2"/>
      <c r="Q50" s="1"/>
      <c r="R50" s="2"/>
      <c r="S50" s="1"/>
      <c r="T50" s="2"/>
      <c r="U50" s="1"/>
      <c r="V50" s="2"/>
      <c r="W50" s="1"/>
      <c r="X50" s="2"/>
      <c r="Y50" s="1"/>
      <c r="Z50" s="2"/>
      <c r="AA50" s="1"/>
      <c r="AB50" s="2"/>
      <c r="AC50" s="1"/>
      <c r="AD50" s="2"/>
      <c r="AE50" s="1"/>
      <c r="AF50" s="2"/>
      <c r="AG50" s="1"/>
      <c r="AH50" s="2"/>
      <c r="AI50" s="1"/>
      <c r="AJ50" s="2"/>
      <c r="AK50" s="1"/>
      <c r="AL50" s="2"/>
      <c r="AM50" s="1"/>
      <c r="AN50" s="2"/>
      <c r="AO50" s="1"/>
      <c r="AP50" s="2" t="str">
        <f t="shared" si="37"/>
        <v>Hydraulic Coupling</v>
      </c>
      <c r="AQ50" s="1" t="str">
        <f t="shared" si="38"/>
        <v>18-D5</v>
      </c>
      <c r="AR50" s="2" t="str">
        <f t="shared" si="39"/>
        <v>Hydraulic Coupling</v>
      </c>
      <c r="AS50" s="1" t="str">
        <f t="shared" si="40"/>
        <v>19-D5</v>
      </c>
      <c r="AT50" s="2" t="str">
        <f t="shared" si="41"/>
        <v>Hydraulic Coupling</v>
      </c>
      <c r="AU50" s="1" t="str">
        <f t="shared" si="42"/>
        <v>20-D5</v>
      </c>
      <c r="AV50" s="2" t="str">
        <f t="shared" si="43"/>
        <v>Hydraulic Coupling</v>
      </c>
      <c r="AW50" s="1" t="str">
        <f t="shared" si="44"/>
        <v>21-D5</v>
      </c>
      <c r="AX50" s="2"/>
      <c r="AY50" s="1"/>
      <c r="AZ50" s="2"/>
      <c r="BA50" s="1"/>
      <c r="BB50" s="2"/>
      <c r="BC50" s="1"/>
    </row>
    <row r="51" spans="4:55" x14ac:dyDescent="0.25">
      <c r="D51" s="2" t="s">
        <v>5</v>
      </c>
      <c r="E51" s="1" t="s">
        <v>343</v>
      </c>
      <c r="G51" t="s">
        <v>8</v>
      </c>
      <c r="H51" s="2" t="s">
        <v>5</v>
      </c>
      <c r="I51" s="1"/>
      <c r="J51" s="2"/>
      <c r="K51" s="1"/>
      <c r="L51" s="2"/>
      <c r="M51" s="1"/>
      <c r="N51" s="2"/>
      <c r="O51" s="1"/>
      <c r="P51" s="2"/>
      <c r="Q51" s="1"/>
      <c r="R51" s="2"/>
      <c r="S51" s="1"/>
      <c r="T51" s="2"/>
      <c r="U51" s="1"/>
      <c r="V51" s="2"/>
      <c r="W51" s="1"/>
      <c r="X51" s="2"/>
      <c r="Y51" s="1"/>
      <c r="Z51" s="2"/>
      <c r="AA51" s="1"/>
      <c r="AB51" s="2"/>
      <c r="AC51" s="1"/>
      <c r="AD51" s="2"/>
      <c r="AE51" s="1"/>
      <c r="AF51" s="2"/>
      <c r="AG51" s="1"/>
      <c r="AH51" s="2"/>
      <c r="AI51" s="1"/>
      <c r="AJ51" s="2"/>
      <c r="AK51" s="1"/>
      <c r="AL51" s="2"/>
      <c r="AM51" s="1"/>
      <c r="AN51" s="2"/>
      <c r="AO51" s="1"/>
      <c r="AP51" s="2" t="str">
        <f t="shared" si="37"/>
        <v>Power/Signal Coupling</v>
      </c>
      <c r="AQ51" s="1" t="str">
        <f t="shared" si="38"/>
        <v>18-D6</v>
      </c>
      <c r="AR51" s="2" t="str">
        <f t="shared" si="39"/>
        <v>Power/Signal Coupling</v>
      </c>
      <c r="AS51" s="1" t="str">
        <f t="shared" si="40"/>
        <v>19-D6</v>
      </c>
      <c r="AT51" s="2" t="str">
        <f t="shared" si="41"/>
        <v>Power/Signal Coupling</v>
      </c>
      <c r="AU51" s="1" t="str">
        <f t="shared" si="42"/>
        <v>20-D6</v>
      </c>
      <c r="AV51" s="2" t="str">
        <f t="shared" si="43"/>
        <v>Power/Signal Coupling</v>
      </c>
      <c r="AW51" s="1" t="str">
        <f t="shared" si="44"/>
        <v>21-D6</v>
      </c>
      <c r="AX51" s="2"/>
      <c r="AY51" s="1"/>
      <c r="AZ51" s="2"/>
      <c r="BA51" s="1"/>
      <c r="BB51" s="2"/>
      <c r="BC51" s="1"/>
    </row>
    <row r="52" spans="4:55" x14ac:dyDescent="0.25">
      <c r="D52" s="2" t="s">
        <v>5</v>
      </c>
      <c r="E52" s="1" t="s">
        <v>342</v>
      </c>
      <c r="G52" t="s">
        <v>17</v>
      </c>
      <c r="H52" s="2" t="s">
        <v>5</v>
      </c>
      <c r="I52" s="1"/>
      <c r="J52" s="2"/>
      <c r="K52" s="1"/>
      <c r="L52" s="2"/>
      <c r="M52" s="1"/>
      <c r="N52" s="2"/>
      <c r="O52" s="1"/>
      <c r="P52" s="2"/>
      <c r="Q52" s="1"/>
      <c r="R52" s="2"/>
      <c r="S52" s="1"/>
      <c r="T52" s="2"/>
      <c r="U52" s="1"/>
      <c r="V52" s="2"/>
      <c r="W52" s="1"/>
      <c r="X52" s="2"/>
      <c r="Y52" s="1"/>
      <c r="Z52" s="2"/>
      <c r="AA52" s="1"/>
      <c r="AB52" s="2"/>
      <c r="AC52" s="1"/>
      <c r="AD52" s="2"/>
      <c r="AE52" s="1"/>
      <c r="AF52" s="2"/>
      <c r="AG52" s="1"/>
      <c r="AH52" s="2"/>
      <c r="AI52" s="1"/>
      <c r="AJ52" s="2"/>
      <c r="AK52" s="1"/>
      <c r="AL52" s="2"/>
      <c r="AM52" s="1"/>
      <c r="AN52" s="2"/>
      <c r="AO52" s="1"/>
      <c r="AP52" s="2" t="str">
        <f t="shared" si="37"/>
        <v>Power/Signal Coupling</v>
      </c>
      <c r="AQ52" s="1" t="str">
        <f t="shared" si="38"/>
        <v>18-D7</v>
      </c>
      <c r="AR52" s="2" t="str">
        <f t="shared" si="39"/>
        <v>Power/Signal Coupling</v>
      </c>
      <c r="AS52" s="1" t="str">
        <f t="shared" si="40"/>
        <v>19-D7</v>
      </c>
      <c r="AT52" s="2" t="str">
        <f t="shared" si="41"/>
        <v>Power/Signal Coupling</v>
      </c>
      <c r="AU52" s="1" t="str">
        <f t="shared" si="42"/>
        <v>20-D7</v>
      </c>
      <c r="AV52" s="2" t="str">
        <f t="shared" si="43"/>
        <v>Power/Signal Coupling</v>
      </c>
      <c r="AW52" s="1" t="str">
        <f t="shared" si="44"/>
        <v>21-D7</v>
      </c>
      <c r="AX52" s="2"/>
      <c r="AY52" s="1"/>
      <c r="AZ52" s="2"/>
      <c r="BA52" s="1"/>
      <c r="BB52" s="2"/>
      <c r="BC52" s="1"/>
    </row>
    <row r="53" spans="4:55" x14ac:dyDescent="0.25">
      <c r="D53" s="2" t="s">
        <v>1</v>
      </c>
      <c r="E53" s="1" t="s">
        <v>452</v>
      </c>
      <c r="G53" t="s">
        <v>26</v>
      </c>
      <c r="H53" s="2" t="s">
        <v>2</v>
      </c>
      <c r="I53" s="1"/>
      <c r="J53" s="2"/>
      <c r="K53" s="1"/>
      <c r="L53" s="2"/>
      <c r="M53" s="1"/>
      <c r="N53" s="2"/>
      <c r="O53" s="1"/>
      <c r="P53" s="2"/>
      <c r="Q53" s="1"/>
      <c r="R53" s="2"/>
      <c r="S53" s="1"/>
      <c r="T53" s="2"/>
      <c r="U53" s="1"/>
      <c r="V53" s="2"/>
      <c r="W53" s="1"/>
      <c r="X53" s="2"/>
      <c r="Y53" s="1"/>
      <c r="Z53" s="2"/>
      <c r="AA53" s="1"/>
      <c r="AB53" s="2" t="str">
        <f t="shared" ref="AB53:AB62" si="45">$H53</f>
        <v>Chemical Injection Coupling</v>
      </c>
      <c r="AC53" s="1" t="str">
        <f t="shared" ref="AC53:AC62" si="46">AC$2&amp;"-"&amp;$G53</f>
        <v>11-D1</v>
      </c>
      <c r="AD53" s="2"/>
      <c r="AE53" s="1"/>
      <c r="AF53" s="2"/>
      <c r="AG53" s="1"/>
      <c r="AH53" s="2"/>
      <c r="AI53" s="1"/>
      <c r="AJ53" s="2"/>
      <c r="AK53" s="1"/>
      <c r="AL53" s="2"/>
      <c r="AM53" s="1"/>
      <c r="AN53" s="2"/>
      <c r="AO53" s="1"/>
      <c r="AP53" s="2"/>
      <c r="AQ53" s="1"/>
      <c r="AR53" s="2"/>
      <c r="AS53" s="1"/>
      <c r="AT53" s="2"/>
      <c r="AU53" s="1"/>
      <c r="AV53" s="2"/>
      <c r="AW53" s="1"/>
      <c r="AX53" s="2"/>
      <c r="AY53" s="1"/>
      <c r="AZ53" s="2"/>
      <c r="BA53" s="1"/>
      <c r="BB53" s="2"/>
      <c r="BC53" s="1"/>
    </row>
    <row r="54" spans="4:55" x14ac:dyDescent="0.25">
      <c r="D54" s="2" t="s">
        <v>1</v>
      </c>
      <c r="E54" s="1" t="s">
        <v>451</v>
      </c>
      <c r="G54" t="s">
        <v>25</v>
      </c>
      <c r="H54" s="2" t="s">
        <v>2</v>
      </c>
      <c r="I54" s="1"/>
      <c r="J54" s="2"/>
      <c r="K54" s="1"/>
      <c r="L54" s="2"/>
      <c r="M54" s="1"/>
      <c r="N54" s="2"/>
      <c r="O54" s="1"/>
      <c r="P54" s="2"/>
      <c r="Q54" s="1"/>
      <c r="R54" s="2"/>
      <c r="S54" s="1"/>
      <c r="T54" s="2"/>
      <c r="U54" s="1"/>
      <c r="V54" s="2"/>
      <c r="W54" s="1"/>
      <c r="X54" s="2"/>
      <c r="Y54" s="1"/>
      <c r="Z54" s="2"/>
      <c r="AA54" s="1"/>
      <c r="AB54" s="2" t="str">
        <f t="shared" si="45"/>
        <v>Chemical Injection Coupling</v>
      </c>
      <c r="AC54" s="1" t="str">
        <f t="shared" si="46"/>
        <v>11-D2</v>
      </c>
      <c r="AD54" s="2"/>
      <c r="AE54" s="1"/>
      <c r="AF54" s="2"/>
      <c r="AG54" s="1"/>
      <c r="AH54" s="2"/>
      <c r="AI54" s="1"/>
      <c r="AJ54" s="2"/>
      <c r="AK54" s="1"/>
      <c r="AL54" s="2"/>
      <c r="AM54" s="1"/>
      <c r="AN54" s="2"/>
      <c r="AO54" s="1"/>
      <c r="AP54" s="2"/>
      <c r="AQ54" s="1"/>
      <c r="AR54" s="2"/>
      <c r="AS54" s="1"/>
      <c r="AT54" s="2"/>
      <c r="AU54" s="1"/>
      <c r="AV54" s="2"/>
      <c r="AW54" s="1"/>
      <c r="AX54" s="2"/>
      <c r="AY54" s="1"/>
      <c r="AZ54" s="2"/>
      <c r="BA54" s="1"/>
      <c r="BB54" s="2"/>
      <c r="BC54" s="1"/>
    </row>
    <row r="55" spans="4:55" x14ac:dyDescent="0.25">
      <c r="D55" s="2" t="s">
        <v>1</v>
      </c>
      <c r="E55" s="1" t="s">
        <v>450</v>
      </c>
      <c r="G55" t="s">
        <v>23</v>
      </c>
      <c r="H55" s="2" t="s">
        <v>2</v>
      </c>
      <c r="I55" s="1"/>
      <c r="J55" s="2"/>
      <c r="K55" s="1"/>
      <c r="L55" s="2"/>
      <c r="M55" s="1"/>
      <c r="N55" s="2"/>
      <c r="O55" s="1"/>
      <c r="P55" s="2"/>
      <c r="Q55" s="1"/>
      <c r="R55" s="2"/>
      <c r="S55" s="1"/>
      <c r="T55" s="2"/>
      <c r="U55" s="1"/>
      <c r="V55" s="2"/>
      <c r="W55" s="1"/>
      <c r="X55" s="2"/>
      <c r="Y55" s="1"/>
      <c r="Z55" s="2"/>
      <c r="AA55" s="1"/>
      <c r="AB55" s="2" t="str">
        <f t="shared" si="45"/>
        <v>Chemical Injection Coupling</v>
      </c>
      <c r="AC55" s="1" t="str">
        <f t="shared" si="46"/>
        <v>11-D3</v>
      </c>
      <c r="AD55" s="2"/>
      <c r="AE55" s="1"/>
      <c r="AF55" s="2"/>
      <c r="AG55" s="1"/>
      <c r="AH55" s="2"/>
      <c r="AI55" s="1"/>
      <c r="AJ55" s="2"/>
      <c r="AK55" s="1"/>
      <c r="AL55" s="2"/>
      <c r="AM55" s="1"/>
      <c r="AN55" s="2"/>
      <c r="AO55" s="1"/>
      <c r="AP55" s="2"/>
      <c r="AQ55" s="1"/>
      <c r="AR55" s="2"/>
      <c r="AS55" s="1"/>
      <c r="AT55" s="2"/>
      <c r="AU55" s="1"/>
      <c r="AV55" s="2"/>
      <c r="AW55" s="1"/>
      <c r="AX55" s="2"/>
      <c r="AY55" s="1"/>
      <c r="AZ55" s="2"/>
      <c r="BA55" s="1"/>
      <c r="BB55" s="2"/>
      <c r="BC55" s="1"/>
    </row>
    <row r="56" spans="4:55" x14ac:dyDescent="0.25">
      <c r="D56" s="2" t="s">
        <v>1</v>
      </c>
      <c r="E56" s="1" t="s">
        <v>449</v>
      </c>
      <c r="G56" t="s">
        <v>21</v>
      </c>
      <c r="H56" s="2" t="s">
        <v>2</v>
      </c>
      <c r="I56" s="1"/>
      <c r="J56" s="2"/>
      <c r="K56" s="1"/>
      <c r="L56" s="2"/>
      <c r="M56" s="1"/>
      <c r="N56" s="2"/>
      <c r="O56" s="1"/>
      <c r="P56" s="2"/>
      <c r="Q56" s="1"/>
      <c r="R56" s="2"/>
      <c r="S56" s="1"/>
      <c r="T56" s="2"/>
      <c r="U56" s="1"/>
      <c r="V56" s="2"/>
      <c r="W56" s="1"/>
      <c r="X56" s="2"/>
      <c r="Y56" s="1"/>
      <c r="Z56" s="2"/>
      <c r="AA56" s="1"/>
      <c r="AB56" s="2" t="str">
        <f t="shared" si="45"/>
        <v>Chemical Injection Coupling</v>
      </c>
      <c r="AC56" s="1" t="str">
        <f t="shared" si="46"/>
        <v>11-D4</v>
      </c>
      <c r="AD56" s="2"/>
      <c r="AE56" s="1"/>
      <c r="AF56" s="2"/>
      <c r="AG56" s="1"/>
      <c r="AH56" s="2"/>
      <c r="AI56" s="1"/>
      <c r="AJ56" s="2"/>
      <c r="AK56" s="1"/>
      <c r="AL56" s="2"/>
      <c r="AM56" s="1"/>
      <c r="AN56" s="2"/>
      <c r="AO56" s="1"/>
      <c r="AP56" s="2"/>
      <c r="AQ56" s="1"/>
      <c r="AR56" s="2"/>
      <c r="AS56" s="1"/>
      <c r="AT56" s="2"/>
      <c r="AU56" s="1"/>
      <c r="AV56" s="2"/>
      <c r="AW56" s="1"/>
      <c r="AX56" s="2"/>
      <c r="AY56" s="1"/>
      <c r="AZ56" s="2"/>
      <c r="BA56" s="1"/>
      <c r="BB56" s="2"/>
      <c r="BC56" s="1"/>
    </row>
    <row r="57" spans="4:55" x14ac:dyDescent="0.25">
      <c r="D57" s="2" t="s">
        <v>5</v>
      </c>
      <c r="E57" s="1" t="s">
        <v>341</v>
      </c>
      <c r="G57" t="s">
        <v>18</v>
      </c>
      <c r="H57" s="2" t="s">
        <v>2</v>
      </c>
      <c r="I57" s="1"/>
      <c r="J57" s="2"/>
      <c r="K57" s="1"/>
      <c r="L57" s="2"/>
      <c r="M57" s="1"/>
      <c r="N57" s="2"/>
      <c r="O57" s="1"/>
      <c r="P57" s="2"/>
      <c r="Q57" s="1"/>
      <c r="R57" s="2"/>
      <c r="S57" s="1"/>
      <c r="T57" s="2"/>
      <c r="U57" s="1"/>
      <c r="V57" s="2"/>
      <c r="W57" s="1"/>
      <c r="X57" s="2"/>
      <c r="Y57" s="1"/>
      <c r="Z57" s="2"/>
      <c r="AA57" s="1"/>
      <c r="AB57" s="2" t="str">
        <f t="shared" si="45"/>
        <v>Chemical Injection Coupling</v>
      </c>
      <c r="AC57" s="1" t="str">
        <f t="shared" si="46"/>
        <v>11-D5</v>
      </c>
      <c r="AD57" s="2"/>
      <c r="AE57" s="1"/>
      <c r="AF57" s="2"/>
      <c r="AG57" s="1"/>
      <c r="AH57" s="2"/>
      <c r="AI57" s="1"/>
      <c r="AJ57" s="2"/>
      <c r="AK57" s="1"/>
      <c r="AL57" s="2"/>
      <c r="AM57" s="1"/>
      <c r="AN57" s="2"/>
      <c r="AO57" s="1"/>
      <c r="AP57" s="2"/>
      <c r="AQ57" s="1"/>
      <c r="AR57" s="2"/>
      <c r="AS57" s="1"/>
      <c r="AT57" s="2"/>
      <c r="AU57" s="1"/>
      <c r="AV57" s="2"/>
      <c r="AW57" s="1"/>
      <c r="AX57" s="2"/>
      <c r="AY57" s="1"/>
      <c r="AZ57" s="2"/>
      <c r="BA57" s="1"/>
      <c r="BB57" s="2"/>
      <c r="BC57" s="1"/>
    </row>
    <row r="58" spans="4:55" x14ac:dyDescent="0.25">
      <c r="D58" s="2" t="s">
        <v>5</v>
      </c>
      <c r="E58" s="1" t="s">
        <v>340</v>
      </c>
      <c r="G58" t="s">
        <v>8</v>
      </c>
      <c r="H58" s="2" t="s">
        <v>2</v>
      </c>
      <c r="I58" s="1"/>
      <c r="J58" s="2"/>
      <c r="K58" s="1"/>
      <c r="L58" s="2"/>
      <c r="M58" s="1"/>
      <c r="N58" s="2"/>
      <c r="O58" s="1"/>
      <c r="P58" s="2"/>
      <c r="Q58" s="1"/>
      <c r="R58" s="2"/>
      <c r="S58" s="1"/>
      <c r="T58" s="2"/>
      <c r="U58" s="1"/>
      <c r="V58" s="2"/>
      <c r="W58" s="1"/>
      <c r="X58" s="2"/>
      <c r="Y58" s="1"/>
      <c r="Z58" s="2"/>
      <c r="AA58" s="1"/>
      <c r="AB58" s="2" t="str">
        <f t="shared" si="45"/>
        <v>Chemical Injection Coupling</v>
      </c>
      <c r="AC58" s="1" t="str">
        <f t="shared" si="46"/>
        <v>11-D6</v>
      </c>
      <c r="AD58" s="2"/>
      <c r="AE58" s="1"/>
      <c r="AF58" s="2"/>
      <c r="AG58" s="1"/>
      <c r="AH58" s="2"/>
      <c r="AI58" s="1"/>
      <c r="AJ58" s="2"/>
      <c r="AK58" s="1"/>
      <c r="AL58" s="2"/>
      <c r="AM58" s="1"/>
      <c r="AN58" s="2"/>
      <c r="AO58" s="1"/>
      <c r="AP58" s="2"/>
      <c r="AQ58" s="1"/>
      <c r="AR58" s="2"/>
      <c r="AS58" s="1"/>
      <c r="AT58" s="2"/>
      <c r="AU58" s="1"/>
      <c r="AV58" s="2"/>
      <c r="AW58" s="1"/>
      <c r="AX58" s="2"/>
      <c r="AY58" s="1"/>
      <c r="AZ58" s="2"/>
      <c r="BA58" s="1"/>
      <c r="BB58" s="2"/>
      <c r="BC58" s="1"/>
    </row>
    <row r="59" spans="4:55" x14ac:dyDescent="0.25">
      <c r="D59" s="2" t="s">
        <v>1</v>
      </c>
      <c r="E59" s="1" t="s">
        <v>448</v>
      </c>
      <c r="G59" t="s">
        <v>17</v>
      </c>
      <c r="H59" s="2" t="s">
        <v>2</v>
      </c>
      <c r="I59" s="1"/>
      <c r="J59" s="2"/>
      <c r="K59" s="1"/>
      <c r="L59" s="2"/>
      <c r="M59" s="1"/>
      <c r="N59" s="2"/>
      <c r="O59" s="1"/>
      <c r="P59" s="2"/>
      <c r="Q59" s="1"/>
      <c r="R59" s="2"/>
      <c r="S59" s="1"/>
      <c r="T59" s="2"/>
      <c r="U59" s="1"/>
      <c r="V59" s="2"/>
      <c r="W59" s="1"/>
      <c r="X59" s="2"/>
      <c r="Y59" s="1"/>
      <c r="Z59" s="2"/>
      <c r="AA59" s="1"/>
      <c r="AB59" s="2" t="str">
        <f t="shared" si="45"/>
        <v>Chemical Injection Coupling</v>
      </c>
      <c r="AC59" s="1" t="str">
        <f t="shared" si="46"/>
        <v>11-D7</v>
      </c>
      <c r="AD59" s="2"/>
      <c r="AE59" s="1"/>
      <c r="AF59" s="2"/>
      <c r="AG59" s="1"/>
      <c r="AH59" s="2"/>
      <c r="AI59" s="1"/>
      <c r="AJ59" s="2"/>
      <c r="AK59" s="1"/>
      <c r="AL59" s="2"/>
      <c r="AM59" s="1"/>
      <c r="AN59" s="2"/>
      <c r="AO59" s="1"/>
      <c r="AP59" s="2"/>
      <c r="AQ59" s="1"/>
      <c r="AR59" s="2"/>
      <c r="AS59" s="1"/>
      <c r="AT59" s="2"/>
      <c r="AU59" s="1"/>
      <c r="AV59" s="2"/>
      <c r="AW59" s="1"/>
      <c r="AX59" s="2"/>
      <c r="AY59" s="1"/>
      <c r="AZ59" s="2"/>
      <c r="BA59" s="1"/>
      <c r="BB59" s="2"/>
      <c r="BC59" s="1"/>
    </row>
    <row r="60" spans="4:55" x14ac:dyDescent="0.25">
      <c r="D60" s="2" t="s">
        <v>1</v>
      </c>
      <c r="E60" s="1" t="s">
        <v>447</v>
      </c>
      <c r="G60" t="s">
        <v>15</v>
      </c>
      <c r="H60" s="2" t="s">
        <v>2</v>
      </c>
      <c r="I60" s="1"/>
      <c r="J60" s="2"/>
      <c r="K60" s="1"/>
      <c r="L60" s="2"/>
      <c r="M60" s="1"/>
      <c r="N60" s="2"/>
      <c r="O60" s="1"/>
      <c r="P60" s="2"/>
      <c r="Q60" s="1"/>
      <c r="R60" s="2"/>
      <c r="S60" s="1"/>
      <c r="T60" s="2"/>
      <c r="U60" s="1"/>
      <c r="V60" s="2"/>
      <c r="W60" s="1"/>
      <c r="X60" s="2"/>
      <c r="Y60" s="1"/>
      <c r="Z60" s="2"/>
      <c r="AA60" s="1"/>
      <c r="AB60" s="2" t="str">
        <f t="shared" si="45"/>
        <v>Chemical Injection Coupling</v>
      </c>
      <c r="AC60" s="1" t="str">
        <f t="shared" si="46"/>
        <v>11-D8</v>
      </c>
      <c r="AD60" s="2"/>
      <c r="AE60" s="1"/>
      <c r="AF60" s="2"/>
      <c r="AG60" s="1"/>
      <c r="AH60" s="2"/>
      <c r="AI60" s="1"/>
      <c r="AJ60" s="2"/>
      <c r="AK60" s="1"/>
      <c r="AL60" s="2"/>
      <c r="AM60" s="1"/>
      <c r="AN60" s="2"/>
      <c r="AO60" s="1"/>
      <c r="AP60" s="2"/>
      <c r="AQ60" s="1"/>
      <c r="AR60" s="2"/>
      <c r="AS60" s="1"/>
      <c r="AT60" s="2"/>
      <c r="AU60" s="1"/>
      <c r="AV60" s="2"/>
      <c r="AW60" s="1"/>
      <c r="AX60" s="2"/>
      <c r="AY60" s="1"/>
      <c r="AZ60" s="2"/>
      <c r="BA60" s="1"/>
      <c r="BB60" s="2"/>
      <c r="BC60" s="1"/>
    </row>
    <row r="61" spans="4:55" x14ac:dyDescent="0.25">
      <c r="D61" s="2" t="s">
        <v>1</v>
      </c>
      <c r="E61" s="1" t="s">
        <v>446</v>
      </c>
      <c r="G61" t="s">
        <v>244</v>
      </c>
      <c r="H61" s="2" t="s">
        <v>2</v>
      </c>
      <c r="I61" s="1"/>
      <c r="J61" s="2"/>
      <c r="K61" s="1"/>
      <c r="L61" s="2"/>
      <c r="M61" s="1"/>
      <c r="N61" s="2"/>
      <c r="O61" s="1"/>
      <c r="P61" s="2"/>
      <c r="Q61" s="1"/>
      <c r="R61" s="2"/>
      <c r="S61" s="1"/>
      <c r="T61" s="2"/>
      <c r="U61" s="1"/>
      <c r="V61" s="2"/>
      <c r="W61" s="1"/>
      <c r="X61" s="2"/>
      <c r="Y61" s="1"/>
      <c r="Z61" s="2"/>
      <c r="AA61" s="1"/>
      <c r="AB61" s="2" t="str">
        <f t="shared" si="45"/>
        <v>Chemical Injection Coupling</v>
      </c>
      <c r="AC61" s="1" t="str">
        <f t="shared" si="46"/>
        <v>11-D9</v>
      </c>
      <c r="AD61" s="2"/>
      <c r="AE61" s="1"/>
      <c r="AF61" s="2"/>
      <c r="AG61" s="1"/>
      <c r="AH61" s="2"/>
      <c r="AI61" s="1"/>
      <c r="AJ61" s="2"/>
      <c r="AK61" s="1"/>
      <c r="AL61" s="2"/>
      <c r="AM61" s="1"/>
      <c r="AN61" s="2"/>
      <c r="AO61" s="1"/>
      <c r="AP61" s="2"/>
      <c r="AQ61" s="1"/>
      <c r="AR61" s="2"/>
      <c r="AS61" s="1"/>
      <c r="AT61" s="2"/>
      <c r="AU61" s="1"/>
      <c r="AV61" s="2"/>
      <c r="AW61" s="1"/>
      <c r="AX61" s="2"/>
      <c r="AY61" s="1"/>
      <c r="AZ61" s="2"/>
      <c r="BA61" s="1"/>
      <c r="BB61" s="2"/>
      <c r="BC61" s="1"/>
    </row>
    <row r="62" spans="4:55" x14ac:dyDescent="0.25">
      <c r="D62" s="2" t="s">
        <v>1</v>
      </c>
      <c r="E62" s="1" t="s">
        <v>445</v>
      </c>
      <c r="G62" t="s">
        <v>474</v>
      </c>
      <c r="H62" s="2" t="s">
        <v>2</v>
      </c>
      <c r="I62" s="1"/>
      <c r="J62" s="2"/>
      <c r="K62" s="1"/>
      <c r="L62" s="2"/>
      <c r="M62" s="1"/>
      <c r="N62" s="2"/>
      <c r="O62" s="1"/>
      <c r="P62" s="2"/>
      <c r="Q62" s="1"/>
      <c r="R62" s="2"/>
      <c r="S62" s="1"/>
      <c r="T62" s="2"/>
      <c r="U62" s="1"/>
      <c r="V62" s="2"/>
      <c r="W62" s="1"/>
      <c r="X62" s="2"/>
      <c r="Y62" s="1"/>
      <c r="Z62" s="2"/>
      <c r="AA62" s="1"/>
      <c r="AB62" s="2" t="str">
        <f t="shared" si="45"/>
        <v>Chemical Injection Coupling</v>
      </c>
      <c r="AC62" s="1" t="str">
        <f t="shared" si="46"/>
        <v>11-D10</v>
      </c>
      <c r="AD62" s="2"/>
      <c r="AE62" s="1"/>
      <c r="AF62" s="2"/>
      <c r="AG62" s="1"/>
      <c r="AH62" s="2"/>
      <c r="AI62" s="1"/>
      <c r="AJ62" s="2"/>
      <c r="AK62" s="1"/>
      <c r="AL62" s="2"/>
      <c r="AM62" s="1"/>
      <c r="AN62" s="2"/>
      <c r="AO62" s="1"/>
      <c r="AP62" s="2"/>
      <c r="AQ62" s="1"/>
      <c r="AR62" s="2"/>
      <c r="AS62" s="1"/>
      <c r="AT62" s="2"/>
      <c r="AU62" s="1"/>
      <c r="AV62" s="2"/>
      <c r="AW62" s="1"/>
      <c r="AX62" s="2"/>
      <c r="AY62" s="1"/>
      <c r="AZ62" s="2"/>
      <c r="BA62" s="1"/>
      <c r="BB62" s="2"/>
      <c r="BC62" s="1"/>
    </row>
    <row r="63" spans="4:55" x14ac:dyDescent="0.25">
      <c r="D63" s="2" t="s">
        <v>5</v>
      </c>
      <c r="E63" s="1" t="s">
        <v>339</v>
      </c>
      <c r="G63" t="s">
        <v>26</v>
      </c>
      <c r="H63" s="2" t="s">
        <v>1</v>
      </c>
      <c r="I63" s="1"/>
      <c r="J63" s="2"/>
      <c r="K63" s="1"/>
      <c r="L63" s="2"/>
      <c r="M63" s="1"/>
      <c r="N63" s="2"/>
      <c r="O63" s="1"/>
      <c r="P63" s="2"/>
      <c r="Q63" s="1"/>
      <c r="R63" s="2"/>
      <c r="S63" s="1"/>
      <c r="T63" s="2"/>
      <c r="U63" s="1"/>
      <c r="V63" s="2"/>
      <c r="W63" s="1"/>
      <c r="X63" s="2"/>
      <c r="Y63" s="1"/>
      <c r="Z63" s="2"/>
      <c r="AA63" s="1"/>
      <c r="AB63" s="2"/>
      <c r="AC63" s="1"/>
      <c r="AD63" s="2" t="str">
        <f t="shared" ref="AD63:AD76" si="47">$H63</f>
        <v>Hydraulic Coupling</v>
      </c>
      <c r="AE63" s="1" t="str">
        <f t="shared" ref="AE63:AE76" si="48">AE$2&amp;"-"&amp;$G63</f>
        <v>12-D1</v>
      </c>
      <c r="AF63" s="2"/>
      <c r="AG63" s="1"/>
      <c r="AH63" s="2"/>
      <c r="AI63" s="1"/>
      <c r="AJ63" s="2"/>
      <c r="AK63" s="1"/>
      <c r="AL63" s="2"/>
      <c r="AM63" s="1"/>
      <c r="AN63" s="2"/>
      <c r="AO63" s="1"/>
      <c r="AP63" s="2"/>
      <c r="AQ63" s="1"/>
      <c r="AR63" s="2"/>
      <c r="AS63" s="1"/>
      <c r="AT63" s="2"/>
      <c r="AU63" s="1"/>
      <c r="AV63" s="2"/>
      <c r="AW63" s="1"/>
      <c r="AX63" s="2"/>
      <c r="AY63" s="1"/>
      <c r="AZ63" s="2"/>
      <c r="BA63" s="1"/>
      <c r="BB63" s="2"/>
      <c r="BC63" s="1"/>
    </row>
    <row r="64" spans="4:55" x14ac:dyDescent="0.25">
      <c r="D64" s="2" t="s">
        <v>5</v>
      </c>
      <c r="E64" s="1" t="s">
        <v>338</v>
      </c>
      <c r="G64" t="s">
        <v>25</v>
      </c>
      <c r="H64" s="2" t="s">
        <v>2</v>
      </c>
      <c r="I64" s="1"/>
      <c r="J64" s="2"/>
      <c r="K64" s="1"/>
      <c r="L64" s="2"/>
      <c r="M64" s="1"/>
      <c r="N64" s="2"/>
      <c r="O64" s="1"/>
      <c r="P64" s="2"/>
      <c r="Q64" s="1"/>
      <c r="R64" s="2"/>
      <c r="S64" s="1"/>
      <c r="T64" s="2"/>
      <c r="U64" s="1"/>
      <c r="V64" s="2"/>
      <c r="W64" s="1"/>
      <c r="X64" s="2"/>
      <c r="Y64" s="1"/>
      <c r="Z64" s="2"/>
      <c r="AA64" s="1"/>
      <c r="AB64" s="2"/>
      <c r="AC64" s="1"/>
      <c r="AD64" s="2" t="str">
        <f t="shared" si="47"/>
        <v>Chemical Injection Coupling</v>
      </c>
      <c r="AE64" s="1" t="str">
        <f t="shared" si="48"/>
        <v>12-D2</v>
      </c>
      <c r="AF64" s="2"/>
      <c r="AG64" s="1"/>
      <c r="AH64" s="2"/>
      <c r="AI64" s="1"/>
      <c r="AJ64" s="2"/>
      <c r="AK64" s="1"/>
      <c r="AL64" s="2"/>
      <c r="AM64" s="1"/>
      <c r="AN64" s="2"/>
      <c r="AO64" s="1"/>
      <c r="AP64" s="2"/>
      <c r="AQ64" s="1"/>
      <c r="AR64" s="2"/>
      <c r="AS64" s="1"/>
      <c r="AT64" s="2"/>
      <c r="AU64" s="1"/>
      <c r="AV64" s="2"/>
      <c r="AW64" s="1"/>
      <c r="AX64" s="2"/>
      <c r="AY64" s="1"/>
      <c r="AZ64" s="2"/>
      <c r="BA64" s="1"/>
      <c r="BB64" s="2"/>
      <c r="BC64" s="1"/>
    </row>
    <row r="65" spans="4:55" x14ac:dyDescent="0.25">
      <c r="D65" s="2" t="s">
        <v>1</v>
      </c>
      <c r="E65" s="1" t="s">
        <v>444</v>
      </c>
      <c r="G65" t="s">
        <v>23</v>
      </c>
      <c r="H65" s="2" t="s">
        <v>2</v>
      </c>
      <c r="I65" s="1"/>
      <c r="J65" s="2"/>
      <c r="K65" s="1"/>
      <c r="L65" s="2"/>
      <c r="M65" s="1"/>
      <c r="N65" s="2"/>
      <c r="O65" s="1"/>
      <c r="P65" s="2"/>
      <c r="Q65" s="1"/>
      <c r="R65" s="2"/>
      <c r="S65" s="1"/>
      <c r="T65" s="2"/>
      <c r="U65" s="1"/>
      <c r="V65" s="2"/>
      <c r="W65" s="1"/>
      <c r="X65" s="2"/>
      <c r="Y65" s="1"/>
      <c r="Z65" s="2"/>
      <c r="AA65" s="1"/>
      <c r="AB65" s="2"/>
      <c r="AC65" s="1"/>
      <c r="AD65" s="2" t="str">
        <f t="shared" si="47"/>
        <v>Chemical Injection Coupling</v>
      </c>
      <c r="AE65" s="1" t="str">
        <f t="shared" si="48"/>
        <v>12-D3</v>
      </c>
      <c r="AF65" s="2"/>
      <c r="AG65" s="1"/>
      <c r="AH65" s="2"/>
      <c r="AI65" s="1"/>
      <c r="AJ65" s="2"/>
      <c r="AK65" s="1"/>
      <c r="AL65" s="2"/>
      <c r="AM65" s="1"/>
      <c r="AN65" s="2"/>
      <c r="AO65" s="1"/>
      <c r="AP65" s="2"/>
      <c r="AQ65" s="1"/>
      <c r="AR65" s="2"/>
      <c r="AS65" s="1"/>
      <c r="AT65" s="2"/>
      <c r="AU65" s="1"/>
      <c r="AV65" s="2"/>
      <c r="AW65" s="1"/>
      <c r="AX65" s="2"/>
      <c r="AY65" s="1"/>
      <c r="AZ65" s="2"/>
      <c r="BA65" s="1"/>
      <c r="BB65" s="2"/>
      <c r="BC65" s="1"/>
    </row>
    <row r="66" spans="4:55" x14ac:dyDescent="0.25">
      <c r="D66" s="2" t="s">
        <v>1</v>
      </c>
      <c r="E66" s="1" t="s">
        <v>443</v>
      </c>
      <c r="G66" t="s">
        <v>21</v>
      </c>
      <c r="H66" s="2" t="s">
        <v>2</v>
      </c>
      <c r="I66" s="1"/>
      <c r="J66" s="2"/>
      <c r="K66" s="1"/>
      <c r="L66" s="2"/>
      <c r="M66" s="1"/>
      <c r="N66" s="2"/>
      <c r="O66" s="1"/>
      <c r="P66" s="2"/>
      <c r="Q66" s="1"/>
      <c r="R66" s="2"/>
      <c r="S66" s="1"/>
      <c r="T66" s="2"/>
      <c r="U66" s="1"/>
      <c r="V66" s="2"/>
      <c r="W66" s="1"/>
      <c r="X66" s="2"/>
      <c r="Y66" s="1"/>
      <c r="Z66" s="2"/>
      <c r="AA66" s="1"/>
      <c r="AB66" s="2"/>
      <c r="AC66" s="1"/>
      <c r="AD66" s="2" t="str">
        <f t="shared" si="47"/>
        <v>Chemical Injection Coupling</v>
      </c>
      <c r="AE66" s="1" t="str">
        <f t="shared" si="48"/>
        <v>12-D4</v>
      </c>
      <c r="AF66" s="2"/>
      <c r="AG66" s="1"/>
      <c r="AH66" s="2"/>
      <c r="AI66" s="1"/>
      <c r="AJ66" s="2"/>
      <c r="AK66" s="1"/>
      <c r="AL66" s="2"/>
      <c r="AM66" s="1"/>
      <c r="AN66" s="2"/>
      <c r="AO66" s="1"/>
      <c r="AP66" s="2"/>
      <c r="AQ66" s="1"/>
      <c r="AR66" s="2"/>
      <c r="AS66" s="1"/>
      <c r="AT66" s="2"/>
      <c r="AU66" s="1"/>
      <c r="AV66" s="2"/>
      <c r="AW66" s="1"/>
      <c r="AX66" s="2"/>
      <c r="AY66" s="1"/>
      <c r="AZ66" s="2"/>
      <c r="BA66" s="1"/>
      <c r="BB66" s="2"/>
      <c r="BC66" s="1"/>
    </row>
    <row r="67" spans="4:55" x14ac:dyDescent="0.25">
      <c r="D67" s="2" t="s">
        <v>1</v>
      </c>
      <c r="E67" s="1" t="s">
        <v>442</v>
      </c>
      <c r="G67" t="s">
        <v>18</v>
      </c>
      <c r="H67" s="2" t="s">
        <v>1</v>
      </c>
      <c r="I67" s="1"/>
      <c r="J67" s="2"/>
      <c r="K67" s="1"/>
      <c r="L67" s="2"/>
      <c r="M67" s="1"/>
      <c r="N67" s="2"/>
      <c r="O67" s="1"/>
      <c r="P67" s="2"/>
      <c r="Q67" s="1"/>
      <c r="R67" s="2"/>
      <c r="S67" s="1"/>
      <c r="T67" s="2"/>
      <c r="U67" s="1"/>
      <c r="V67" s="2"/>
      <c r="W67" s="1"/>
      <c r="X67" s="2"/>
      <c r="Y67" s="1"/>
      <c r="Z67" s="2"/>
      <c r="AA67" s="1"/>
      <c r="AB67" s="2"/>
      <c r="AC67" s="1"/>
      <c r="AD67" s="2" t="str">
        <f t="shared" si="47"/>
        <v>Hydraulic Coupling</v>
      </c>
      <c r="AE67" s="1" t="str">
        <f t="shared" si="48"/>
        <v>12-D5</v>
      </c>
      <c r="AF67" s="2"/>
      <c r="AG67" s="1"/>
      <c r="AH67" s="2"/>
      <c r="AI67" s="1"/>
      <c r="AJ67" s="2"/>
      <c r="AK67" s="1"/>
      <c r="AL67" s="2"/>
      <c r="AM67" s="1"/>
      <c r="AN67" s="2"/>
      <c r="AO67" s="1"/>
      <c r="AP67" s="2"/>
      <c r="AQ67" s="1"/>
      <c r="AR67" s="2"/>
      <c r="AS67" s="1"/>
      <c r="AT67" s="2"/>
      <c r="AU67" s="1"/>
      <c r="AV67" s="2"/>
      <c r="AW67" s="1"/>
      <c r="AX67" s="2"/>
      <c r="AY67" s="1"/>
      <c r="AZ67" s="2"/>
      <c r="BA67" s="1"/>
      <c r="BB67" s="2"/>
      <c r="BC67" s="1"/>
    </row>
    <row r="68" spans="4:55" x14ac:dyDescent="0.25">
      <c r="D68" s="2" t="s">
        <v>1</v>
      </c>
      <c r="E68" s="1" t="s">
        <v>441</v>
      </c>
      <c r="G68" t="s">
        <v>8</v>
      </c>
      <c r="H68" s="2" t="s">
        <v>2</v>
      </c>
      <c r="I68" s="1"/>
      <c r="J68" s="2"/>
      <c r="K68" s="1"/>
      <c r="L68" s="2"/>
      <c r="M68" s="1"/>
      <c r="N68" s="2"/>
      <c r="O68" s="1"/>
      <c r="P68" s="2"/>
      <c r="Q68" s="1"/>
      <c r="R68" s="2"/>
      <c r="S68" s="1"/>
      <c r="T68" s="2"/>
      <c r="U68" s="1"/>
      <c r="V68" s="2"/>
      <c r="W68" s="1"/>
      <c r="X68" s="2"/>
      <c r="Y68" s="1"/>
      <c r="Z68" s="2"/>
      <c r="AA68" s="1"/>
      <c r="AB68" s="2"/>
      <c r="AC68" s="1"/>
      <c r="AD68" s="2" t="str">
        <f t="shared" si="47"/>
        <v>Chemical Injection Coupling</v>
      </c>
      <c r="AE68" s="1" t="str">
        <f t="shared" si="48"/>
        <v>12-D6</v>
      </c>
      <c r="AF68" s="2"/>
      <c r="AG68" s="1"/>
      <c r="AH68" s="2"/>
      <c r="AI68" s="1"/>
      <c r="AJ68" s="2"/>
      <c r="AK68" s="1"/>
      <c r="AL68" s="2"/>
      <c r="AM68" s="1"/>
      <c r="AN68" s="2"/>
      <c r="AO68" s="1"/>
      <c r="AP68" s="2"/>
      <c r="AQ68" s="1"/>
      <c r="AR68" s="2"/>
      <c r="AS68" s="1"/>
      <c r="AT68" s="2"/>
      <c r="AU68" s="1"/>
      <c r="AV68" s="2"/>
      <c r="AW68" s="1"/>
      <c r="AX68" s="2"/>
      <c r="AY68" s="1"/>
      <c r="AZ68" s="2"/>
      <c r="BA68" s="1"/>
      <c r="BB68" s="2"/>
      <c r="BC68" s="1"/>
    </row>
    <row r="69" spans="4:55" x14ac:dyDescent="0.25">
      <c r="D69" s="2" t="s">
        <v>5</v>
      </c>
      <c r="E69" s="1" t="s">
        <v>337</v>
      </c>
      <c r="G69" t="s">
        <v>17</v>
      </c>
      <c r="H69" s="2" t="s">
        <v>2</v>
      </c>
      <c r="I69" s="1"/>
      <c r="J69" s="2"/>
      <c r="K69" s="1"/>
      <c r="L69" s="2"/>
      <c r="M69" s="1"/>
      <c r="N69" s="2"/>
      <c r="O69" s="1"/>
      <c r="P69" s="2"/>
      <c r="Q69" s="1"/>
      <c r="R69" s="2"/>
      <c r="S69" s="1"/>
      <c r="T69" s="2"/>
      <c r="U69" s="1"/>
      <c r="V69" s="2"/>
      <c r="W69" s="1"/>
      <c r="X69" s="2"/>
      <c r="Y69" s="1"/>
      <c r="Z69" s="2"/>
      <c r="AA69" s="1"/>
      <c r="AB69" s="2"/>
      <c r="AC69" s="1"/>
      <c r="AD69" s="2" t="str">
        <f t="shared" si="47"/>
        <v>Chemical Injection Coupling</v>
      </c>
      <c r="AE69" s="1" t="str">
        <f t="shared" si="48"/>
        <v>12-D7</v>
      </c>
      <c r="AF69" s="2"/>
      <c r="AG69" s="1"/>
      <c r="AH69" s="2"/>
      <c r="AI69" s="1"/>
      <c r="AJ69" s="2"/>
      <c r="AK69" s="1"/>
      <c r="AL69" s="2"/>
      <c r="AM69" s="1"/>
      <c r="AN69" s="2"/>
      <c r="AO69" s="1"/>
      <c r="AP69" s="2"/>
      <c r="AQ69" s="1"/>
      <c r="AR69" s="2"/>
      <c r="AS69" s="1"/>
      <c r="AT69" s="2"/>
      <c r="AU69" s="1"/>
      <c r="AV69" s="2"/>
      <c r="AW69" s="1"/>
      <c r="AX69" s="2"/>
      <c r="AY69" s="1"/>
      <c r="AZ69" s="2"/>
      <c r="BA69" s="1"/>
      <c r="BB69" s="2"/>
      <c r="BC69" s="1"/>
    </row>
    <row r="70" spans="4:55" x14ac:dyDescent="0.25">
      <c r="D70" s="2" t="s">
        <v>5</v>
      </c>
      <c r="E70" s="1" t="s">
        <v>336</v>
      </c>
      <c r="G70" t="s">
        <v>15</v>
      </c>
      <c r="H70" s="2" t="s">
        <v>2</v>
      </c>
      <c r="I70" s="1"/>
      <c r="J70" s="2"/>
      <c r="K70" s="1"/>
      <c r="L70" s="2"/>
      <c r="M70" s="1"/>
      <c r="N70" s="2"/>
      <c r="O70" s="1"/>
      <c r="P70" s="2"/>
      <c r="Q70" s="1"/>
      <c r="R70" s="2"/>
      <c r="S70" s="1"/>
      <c r="T70" s="2"/>
      <c r="U70" s="1"/>
      <c r="V70" s="2"/>
      <c r="W70" s="1"/>
      <c r="X70" s="2"/>
      <c r="Y70" s="1"/>
      <c r="Z70" s="2"/>
      <c r="AA70" s="1"/>
      <c r="AB70" s="2"/>
      <c r="AC70" s="1"/>
      <c r="AD70" s="2" t="str">
        <f t="shared" si="47"/>
        <v>Chemical Injection Coupling</v>
      </c>
      <c r="AE70" s="1" t="str">
        <f t="shared" si="48"/>
        <v>12-D8</v>
      </c>
      <c r="AF70" s="2"/>
      <c r="AG70" s="1"/>
      <c r="AH70" s="2"/>
      <c r="AI70" s="1"/>
      <c r="AJ70" s="2"/>
      <c r="AK70" s="1"/>
      <c r="AL70" s="2"/>
      <c r="AM70" s="1"/>
      <c r="AN70" s="2"/>
      <c r="AO70" s="1"/>
      <c r="AP70" s="2"/>
      <c r="AQ70" s="1"/>
      <c r="AR70" s="2"/>
      <c r="AS70" s="1"/>
      <c r="AT70" s="2"/>
      <c r="AU70" s="1"/>
      <c r="AV70" s="2"/>
      <c r="AW70" s="1"/>
      <c r="AX70" s="2"/>
      <c r="AY70" s="1"/>
      <c r="AZ70" s="2"/>
      <c r="BA70" s="1"/>
      <c r="BB70" s="2"/>
      <c r="BC70" s="1"/>
    </row>
    <row r="71" spans="4:55" x14ac:dyDescent="0.25">
      <c r="D71" s="2" t="s">
        <v>1</v>
      </c>
      <c r="E71" s="1" t="s">
        <v>440</v>
      </c>
      <c r="G71" t="s">
        <v>244</v>
      </c>
      <c r="H71" s="2" t="s">
        <v>2</v>
      </c>
      <c r="I71" s="1"/>
      <c r="J71" s="2"/>
      <c r="K71" s="1"/>
      <c r="L71" s="2"/>
      <c r="M71" s="1"/>
      <c r="N71" s="2"/>
      <c r="O71" s="1"/>
      <c r="P71" s="2"/>
      <c r="Q71" s="1"/>
      <c r="R71" s="2"/>
      <c r="S71" s="1"/>
      <c r="T71" s="2"/>
      <c r="U71" s="1"/>
      <c r="V71" s="2"/>
      <c r="W71" s="1"/>
      <c r="X71" s="2"/>
      <c r="Y71" s="1"/>
      <c r="Z71" s="2"/>
      <c r="AA71" s="1"/>
      <c r="AB71" s="2"/>
      <c r="AC71" s="1"/>
      <c r="AD71" s="2" t="str">
        <f t="shared" si="47"/>
        <v>Chemical Injection Coupling</v>
      </c>
      <c r="AE71" s="1" t="str">
        <f t="shared" si="48"/>
        <v>12-D9</v>
      </c>
      <c r="AF71" s="2"/>
      <c r="AG71" s="1"/>
      <c r="AH71" s="2"/>
      <c r="AI71" s="1"/>
      <c r="AJ71" s="2"/>
      <c r="AK71" s="1"/>
      <c r="AL71" s="2"/>
      <c r="AM71" s="1"/>
      <c r="AN71" s="2"/>
      <c r="AO71" s="1"/>
      <c r="AP71" s="2"/>
      <c r="AQ71" s="1"/>
      <c r="AR71" s="2"/>
      <c r="AS71" s="1"/>
      <c r="AT71" s="2"/>
      <c r="AU71" s="1"/>
      <c r="AV71" s="2"/>
      <c r="AW71" s="1"/>
      <c r="AX71" s="2"/>
      <c r="AY71" s="1"/>
      <c r="AZ71" s="2"/>
      <c r="BA71" s="1"/>
      <c r="BB71" s="2"/>
      <c r="BC71" s="1"/>
    </row>
    <row r="72" spans="4:55" x14ac:dyDescent="0.25">
      <c r="D72" s="2" t="s">
        <v>1</v>
      </c>
      <c r="E72" s="1" t="s">
        <v>439</v>
      </c>
      <c r="G72" t="s">
        <v>474</v>
      </c>
      <c r="H72" s="2" t="s">
        <v>1</v>
      </c>
      <c r="I72" s="1"/>
      <c r="J72" s="2"/>
      <c r="K72" s="1"/>
      <c r="L72" s="2"/>
      <c r="M72" s="1"/>
      <c r="N72" s="2"/>
      <c r="O72" s="1"/>
      <c r="P72" s="2"/>
      <c r="Q72" s="1"/>
      <c r="R72" s="2"/>
      <c r="S72" s="1"/>
      <c r="T72" s="2"/>
      <c r="U72" s="1"/>
      <c r="V72" s="2"/>
      <c r="W72" s="1"/>
      <c r="X72" s="2"/>
      <c r="Y72" s="1"/>
      <c r="Z72" s="2"/>
      <c r="AA72" s="1"/>
      <c r="AB72" s="2"/>
      <c r="AC72" s="1"/>
      <c r="AD72" s="2" t="str">
        <f t="shared" si="47"/>
        <v>Hydraulic Coupling</v>
      </c>
      <c r="AE72" s="1" t="str">
        <f t="shared" si="48"/>
        <v>12-D10</v>
      </c>
      <c r="AF72" s="2"/>
      <c r="AG72" s="1"/>
      <c r="AH72" s="2"/>
      <c r="AI72" s="1"/>
      <c r="AJ72" s="2"/>
      <c r="AK72" s="1"/>
      <c r="AL72" s="2"/>
      <c r="AM72" s="1"/>
      <c r="AN72" s="2"/>
      <c r="AO72" s="1"/>
      <c r="AP72" s="2"/>
      <c r="AQ72" s="1"/>
      <c r="AR72" s="2"/>
      <c r="AS72" s="1"/>
      <c r="AT72" s="2"/>
      <c r="AU72" s="1"/>
      <c r="AV72" s="2"/>
      <c r="AW72" s="1"/>
      <c r="AX72" s="2"/>
      <c r="AY72" s="1"/>
      <c r="AZ72" s="2"/>
      <c r="BA72" s="1"/>
      <c r="BB72" s="2"/>
      <c r="BC72" s="1"/>
    </row>
    <row r="73" spans="4:55" x14ac:dyDescent="0.25">
      <c r="D73" s="2" t="s">
        <v>1</v>
      </c>
      <c r="E73" s="1" t="s">
        <v>438</v>
      </c>
      <c r="G73" t="s">
        <v>472</v>
      </c>
      <c r="H73" s="2" t="s">
        <v>2</v>
      </c>
      <c r="I73" s="1"/>
      <c r="J73" s="2"/>
      <c r="K73" s="1"/>
      <c r="L73" s="2"/>
      <c r="M73" s="1"/>
      <c r="N73" s="2"/>
      <c r="O73" s="1"/>
      <c r="P73" s="2"/>
      <c r="Q73" s="1"/>
      <c r="R73" s="2"/>
      <c r="S73" s="1"/>
      <c r="T73" s="2"/>
      <c r="U73" s="1"/>
      <c r="V73" s="2"/>
      <c r="W73" s="1"/>
      <c r="X73" s="2"/>
      <c r="Y73" s="1"/>
      <c r="Z73" s="2"/>
      <c r="AA73" s="1"/>
      <c r="AB73" s="2"/>
      <c r="AC73" s="1"/>
      <c r="AD73" s="2" t="str">
        <f t="shared" si="47"/>
        <v>Chemical Injection Coupling</v>
      </c>
      <c r="AE73" s="1" t="str">
        <f t="shared" si="48"/>
        <v>12-D11</v>
      </c>
      <c r="AF73" s="2"/>
      <c r="AG73" s="1"/>
      <c r="AH73" s="2"/>
      <c r="AI73" s="1"/>
      <c r="AJ73" s="2"/>
      <c r="AK73" s="1"/>
      <c r="AL73" s="2"/>
      <c r="AM73" s="1"/>
      <c r="AN73" s="2"/>
      <c r="AO73" s="1"/>
      <c r="AP73" s="2"/>
      <c r="AQ73" s="1"/>
      <c r="AR73" s="2"/>
      <c r="AS73" s="1"/>
      <c r="AT73" s="2"/>
      <c r="AU73" s="1"/>
      <c r="AV73" s="2"/>
      <c r="AW73" s="1"/>
      <c r="AX73" s="2"/>
      <c r="AY73" s="1"/>
      <c r="AZ73" s="2"/>
      <c r="BA73" s="1"/>
      <c r="BB73" s="2"/>
      <c r="BC73" s="1"/>
    </row>
    <row r="74" spans="4:55" x14ac:dyDescent="0.25">
      <c r="D74" s="2" t="s">
        <v>1</v>
      </c>
      <c r="E74" s="1" t="s">
        <v>437</v>
      </c>
      <c r="G74" t="s">
        <v>470</v>
      </c>
      <c r="H74" s="2" t="s">
        <v>2</v>
      </c>
      <c r="I74" s="1"/>
      <c r="J74" s="2"/>
      <c r="K74" s="1"/>
      <c r="L74" s="2"/>
      <c r="M74" s="1"/>
      <c r="N74" s="2"/>
      <c r="O74" s="1"/>
      <c r="P74" s="2"/>
      <c r="Q74" s="1"/>
      <c r="R74" s="2"/>
      <c r="S74" s="1"/>
      <c r="T74" s="2"/>
      <c r="U74" s="1"/>
      <c r="V74" s="2"/>
      <c r="W74" s="1"/>
      <c r="X74" s="2"/>
      <c r="Y74" s="1"/>
      <c r="Z74" s="2"/>
      <c r="AA74" s="1"/>
      <c r="AB74" s="2"/>
      <c r="AC74" s="1"/>
      <c r="AD74" s="2" t="str">
        <f t="shared" si="47"/>
        <v>Chemical Injection Coupling</v>
      </c>
      <c r="AE74" s="1" t="str">
        <f t="shared" si="48"/>
        <v>12-D12</v>
      </c>
      <c r="AF74" s="2"/>
      <c r="AG74" s="1"/>
      <c r="AH74" s="2"/>
      <c r="AI74" s="1"/>
      <c r="AJ74" s="2"/>
      <c r="AK74" s="1"/>
      <c r="AL74" s="2"/>
      <c r="AM74" s="1"/>
      <c r="AN74" s="2"/>
      <c r="AO74" s="1"/>
      <c r="AP74" s="2"/>
      <c r="AQ74" s="1"/>
      <c r="AR74" s="2"/>
      <c r="AS74" s="1"/>
      <c r="AT74" s="2"/>
      <c r="AU74" s="1"/>
      <c r="AV74" s="2"/>
      <c r="AW74" s="1"/>
      <c r="AX74" s="2"/>
      <c r="AY74" s="1"/>
      <c r="AZ74" s="2"/>
      <c r="BA74" s="1"/>
      <c r="BB74" s="2"/>
      <c r="BC74" s="1"/>
    </row>
    <row r="75" spans="4:55" x14ac:dyDescent="0.25">
      <c r="D75" s="2" t="s">
        <v>5</v>
      </c>
      <c r="E75" s="1" t="s">
        <v>335</v>
      </c>
      <c r="G75" t="s">
        <v>469</v>
      </c>
      <c r="H75" s="2" t="s">
        <v>2</v>
      </c>
      <c r="I75" s="1"/>
      <c r="J75" s="2"/>
      <c r="K75" s="1"/>
      <c r="L75" s="2"/>
      <c r="M75" s="1"/>
      <c r="N75" s="2"/>
      <c r="O75" s="1"/>
      <c r="P75" s="2"/>
      <c r="Q75" s="1"/>
      <c r="R75" s="2"/>
      <c r="S75" s="1"/>
      <c r="T75" s="2"/>
      <c r="U75" s="1"/>
      <c r="V75" s="2"/>
      <c r="W75" s="1"/>
      <c r="X75" s="2"/>
      <c r="Y75" s="1"/>
      <c r="Z75" s="2"/>
      <c r="AA75" s="1"/>
      <c r="AB75" s="2"/>
      <c r="AC75" s="1"/>
      <c r="AD75" s="2" t="str">
        <f t="shared" si="47"/>
        <v>Chemical Injection Coupling</v>
      </c>
      <c r="AE75" s="1" t="str">
        <f t="shared" si="48"/>
        <v>12-D13</v>
      </c>
      <c r="AF75" s="2"/>
      <c r="AG75" s="1"/>
      <c r="AH75" s="2"/>
      <c r="AI75" s="1"/>
      <c r="AJ75" s="2"/>
      <c r="AK75" s="1"/>
      <c r="AL75" s="2"/>
      <c r="AM75" s="1"/>
      <c r="AN75" s="2"/>
      <c r="AO75" s="1"/>
      <c r="AP75" s="2"/>
      <c r="AQ75" s="1"/>
      <c r="AR75" s="2"/>
      <c r="AS75" s="1"/>
      <c r="AT75" s="2"/>
      <c r="AU75" s="1"/>
      <c r="AV75" s="2"/>
      <c r="AW75" s="1"/>
      <c r="AX75" s="2"/>
      <c r="AY75" s="1"/>
      <c r="AZ75" s="2"/>
      <c r="BA75" s="1"/>
      <c r="BB75" s="2"/>
      <c r="BC75" s="1"/>
    </row>
    <row r="76" spans="4:55" x14ac:dyDescent="0.25">
      <c r="D76" s="2" t="s">
        <v>5</v>
      </c>
      <c r="E76" s="1" t="s">
        <v>334</v>
      </c>
      <c r="G76" t="s">
        <v>468</v>
      </c>
      <c r="H76" s="2" t="s">
        <v>1</v>
      </c>
      <c r="I76" s="1"/>
      <c r="J76" s="2"/>
      <c r="K76" s="1"/>
      <c r="L76" s="2"/>
      <c r="M76" s="1"/>
      <c r="N76" s="2"/>
      <c r="O76" s="1"/>
      <c r="P76" s="2"/>
      <c r="Q76" s="1"/>
      <c r="R76" s="2"/>
      <c r="S76" s="1"/>
      <c r="T76" s="2"/>
      <c r="U76" s="1"/>
      <c r="V76" s="2"/>
      <c r="W76" s="1"/>
      <c r="X76" s="2"/>
      <c r="Y76" s="1"/>
      <c r="Z76" s="2"/>
      <c r="AA76" s="1"/>
      <c r="AB76" s="2"/>
      <c r="AC76" s="1"/>
      <c r="AD76" s="2" t="str">
        <f t="shared" si="47"/>
        <v>Hydraulic Coupling</v>
      </c>
      <c r="AE76" s="1" t="str">
        <f t="shared" si="48"/>
        <v>12-D14</v>
      </c>
      <c r="AF76" s="2"/>
      <c r="AG76" s="1"/>
      <c r="AH76" s="2"/>
      <c r="AI76" s="1"/>
      <c r="AJ76" s="2"/>
      <c r="AK76" s="1"/>
      <c r="AL76" s="2"/>
      <c r="AM76" s="1"/>
      <c r="AN76" s="2"/>
      <c r="AO76" s="1"/>
      <c r="AP76" s="2"/>
      <c r="AQ76" s="1"/>
      <c r="AR76" s="2"/>
      <c r="AS76" s="1"/>
      <c r="AT76" s="2"/>
      <c r="AU76" s="1"/>
      <c r="AV76" s="2"/>
      <c r="AW76" s="1"/>
      <c r="AX76" s="2"/>
      <c r="AY76" s="1"/>
      <c r="AZ76" s="2"/>
      <c r="BA76" s="1"/>
      <c r="BB76" s="2"/>
      <c r="BC76" s="1"/>
    </row>
    <row r="77" spans="4:55" x14ac:dyDescent="0.25">
      <c r="D77" s="2" t="s">
        <v>1</v>
      </c>
      <c r="E77" s="1" t="s">
        <v>436</v>
      </c>
    </row>
    <row r="78" spans="4:55" x14ac:dyDescent="0.25">
      <c r="D78" s="2" t="s">
        <v>1</v>
      </c>
      <c r="E78" s="1" t="s">
        <v>435</v>
      </c>
      <c r="G78" s="10" t="s">
        <v>467</v>
      </c>
    </row>
    <row r="79" spans="4:55" x14ac:dyDescent="0.25">
      <c r="D79" s="2" t="s">
        <v>1</v>
      </c>
      <c r="E79" s="1" t="s">
        <v>434</v>
      </c>
      <c r="G79" s="10"/>
    </row>
    <row r="80" spans="4:55" x14ac:dyDescent="0.25">
      <c r="D80" s="2" t="s">
        <v>1</v>
      </c>
      <c r="E80" s="1" t="s">
        <v>433</v>
      </c>
      <c r="H80" s="2" t="s">
        <v>356</v>
      </c>
      <c r="I80" s="1"/>
      <c r="J80" s="2"/>
      <c r="K80" s="1"/>
      <c r="L80" s="2"/>
      <c r="M80" s="1"/>
      <c r="N80" s="2"/>
      <c r="O80" s="1"/>
      <c r="P80" s="2"/>
      <c r="Q80" s="1"/>
      <c r="R80" s="2"/>
      <c r="S80" s="1"/>
      <c r="T80" s="2"/>
      <c r="U80" s="1"/>
      <c r="V80" s="2"/>
      <c r="W80" s="1"/>
      <c r="X80" s="2"/>
      <c r="Y80" s="1"/>
      <c r="Z80" s="2"/>
      <c r="AA80" s="1"/>
      <c r="AB80" s="2"/>
      <c r="AC80" s="1"/>
      <c r="AD80" s="2"/>
      <c r="AE80" s="1"/>
      <c r="AF80" s="2"/>
      <c r="AG80" s="1"/>
      <c r="AH80" s="2"/>
      <c r="AI80" s="1"/>
      <c r="AJ80" s="2"/>
      <c r="AK80" s="1"/>
      <c r="AL80" s="2"/>
      <c r="AM80" s="1"/>
      <c r="AN80" s="2"/>
      <c r="AO80" s="1"/>
      <c r="AP80" s="2"/>
      <c r="AQ80" s="1"/>
      <c r="AR80" s="2"/>
      <c r="AS80" s="1"/>
      <c r="AT80" s="2"/>
      <c r="AU80" s="1"/>
      <c r="AV80" s="2"/>
      <c r="AW80" s="1"/>
      <c r="AX80" s="2"/>
      <c r="AY80" s="1"/>
      <c r="AZ80" s="2"/>
      <c r="BA80" s="1"/>
      <c r="BB80" s="2"/>
      <c r="BC80" s="1"/>
    </row>
    <row r="81" spans="4:55" x14ac:dyDescent="0.25">
      <c r="D81" s="2" t="s">
        <v>5</v>
      </c>
      <c r="E81" s="1" t="s">
        <v>333</v>
      </c>
      <c r="H81" s="2" t="s">
        <v>356</v>
      </c>
      <c r="I81" s="1"/>
      <c r="J81" s="2"/>
      <c r="K81" s="1"/>
      <c r="L81" s="2"/>
      <c r="M81" s="1"/>
      <c r="N81" s="2"/>
      <c r="O81" s="1"/>
      <c r="P81" s="2"/>
      <c r="Q81" s="1"/>
      <c r="R81" s="2"/>
      <c r="S81" s="1"/>
      <c r="T81" s="2"/>
      <c r="U81" s="1"/>
      <c r="V81" s="2"/>
      <c r="W81" s="1"/>
      <c r="X81" s="2"/>
      <c r="Y81" s="1"/>
      <c r="Z81" s="2"/>
      <c r="AA81" s="1"/>
      <c r="AB81" s="2"/>
      <c r="AC81" s="1"/>
      <c r="AD81" s="2"/>
      <c r="AE81" s="1"/>
      <c r="AF81" s="2"/>
      <c r="AG81" s="1"/>
      <c r="AH81" s="2"/>
      <c r="AI81" s="1"/>
      <c r="AJ81" s="2"/>
      <c r="AK81" s="1"/>
      <c r="AL81" s="2"/>
      <c r="AM81" s="1"/>
      <c r="AN81" s="2"/>
      <c r="AO81" s="1"/>
      <c r="AP81" s="2"/>
      <c r="AQ81" s="1"/>
      <c r="AR81" s="2"/>
      <c r="AS81" s="1"/>
      <c r="AT81" s="2"/>
      <c r="AU81" s="1"/>
      <c r="AV81" s="2"/>
      <c r="AW81" s="1"/>
      <c r="AX81" s="2"/>
      <c r="AY81" s="1"/>
      <c r="AZ81" s="2"/>
      <c r="BA81" s="1"/>
      <c r="BB81" s="2"/>
      <c r="BC81" s="1"/>
    </row>
    <row r="82" spans="4:55" x14ac:dyDescent="0.25">
      <c r="D82" s="2" t="s">
        <v>5</v>
      </c>
      <c r="E82" s="1" t="s">
        <v>332</v>
      </c>
      <c r="H82" s="2" t="s">
        <v>356</v>
      </c>
      <c r="I82" s="1"/>
      <c r="J82" s="2"/>
      <c r="K82" s="1"/>
      <c r="L82" s="2"/>
      <c r="M82" s="1"/>
      <c r="N82" s="2"/>
      <c r="O82" s="1"/>
      <c r="P82" s="2"/>
      <c r="Q82" s="1"/>
      <c r="R82" s="2"/>
      <c r="S82" s="1"/>
      <c r="T82" s="2"/>
      <c r="U82" s="1"/>
      <c r="V82" s="2"/>
      <c r="W82" s="1"/>
      <c r="X82" s="2"/>
      <c r="Y82" s="1"/>
      <c r="Z82" s="2"/>
      <c r="AA82" s="1"/>
      <c r="AB82" s="2"/>
      <c r="AC82" s="1"/>
      <c r="AD82" s="2"/>
      <c r="AE82" s="1"/>
      <c r="AF82" s="2"/>
      <c r="AG82" s="1"/>
      <c r="AH82" s="2"/>
      <c r="AI82" s="1"/>
      <c r="AJ82" s="2"/>
      <c r="AK82" s="1"/>
      <c r="AL82" s="2"/>
      <c r="AM82" s="1"/>
      <c r="AN82" s="2"/>
      <c r="AO82" s="1"/>
      <c r="AP82" s="2"/>
      <c r="AQ82" s="1"/>
      <c r="AR82" s="2"/>
      <c r="AS82" s="1"/>
      <c r="AT82" s="2"/>
      <c r="AU82" s="1"/>
      <c r="AV82" s="2"/>
      <c r="AW82" s="1"/>
      <c r="AX82" s="2"/>
      <c r="AY82" s="1"/>
      <c r="AZ82" s="2"/>
      <c r="BA82" s="1"/>
      <c r="BB82" s="2"/>
      <c r="BC82" s="1"/>
    </row>
    <row r="83" spans="4:55" x14ac:dyDescent="0.25">
      <c r="D83" s="2" t="s">
        <v>2</v>
      </c>
      <c r="E83" s="1" t="s">
        <v>432</v>
      </c>
      <c r="H83" s="2" t="s">
        <v>356</v>
      </c>
      <c r="I83" s="1"/>
      <c r="J83" s="2"/>
      <c r="K83" s="1"/>
      <c r="L83" s="2"/>
      <c r="M83" s="1"/>
      <c r="N83" s="2"/>
      <c r="O83" s="1"/>
      <c r="P83" s="2"/>
      <c r="Q83" s="1"/>
      <c r="R83" s="2"/>
      <c r="S83" s="1"/>
      <c r="T83" s="2"/>
      <c r="U83" s="1"/>
      <c r="V83" s="2"/>
      <c r="W83" s="1"/>
      <c r="X83" s="2"/>
      <c r="Y83" s="1"/>
      <c r="Z83" s="2"/>
      <c r="AA83" s="1"/>
      <c r="AB83" s="2"/>
      <c r="AC83" s="1"/>
      <c r="AD83" s="2"/>
      <c r="AE83" s="1"/>
      <c r="AF83" s="2"/>
      <c r="AG83" s="1"/>
      <c r="AH83" s="2"/>
      <c r="AI83" s="1"/>
      <c r="AJ83" s="2"/>
      <c r="AK83" s="1"/>
      <c r="AL83" s="2"/>
      <c r="AM83" s="1"/>
      <c r="AN83" s="2"/>
      <c r="AO83" s="1"/>
      <c r="AP83" s="2"/>
      <c r="AQ83" s="1"/>
      <c r="AR83" s="2"/>
      <c r="AS83" s="1"/>
      <c r="AT83" s="2"/>
      <c r="AU83" s="1"/>
      <c r="AV83" s="2"/>
      <c r="AW83" s="1"/>
      <c r="AX83" s="2"/>
      <c r="AY83" s="1"/>
      <c r="AZ83" s="2"/>
      <c r="BA83" s="1"/>
      <c r="BB83" s="2"/>
      <c r="BC83" s="1"/>
    </row>
    <row r="84" spans="4:55" x14ac:dyDescent="0.25">
      <c r="D84" s="2" t="s">
        <v>2</v>
      </c>
      <c r="E84" s="1" t="s">
        <v>431</v>
      </c>
      <c r="G84" t="s">
        <v>462</v>
      </c>
      <c r="H84" s="2" t="s">
        <v>6</v>
      </c>
      <c r="I84" s="1" t="str">
        <f t="shared" ref="I84:I91" si="49">I$2&amp;"-"&amp;$G84</f>
        <v>1-PA</v>
      </c>
      <c r="J84" s="2"/>
      <c r="K84" s="1"/>
      <c r="L84" s="2"/>
      <c r="M84" s="1"/>
      <c r="N84" s="2"/>
      <c r="O84" s="1"/>
      <c r="P84" s="2"/>
      <c r="Q84" s="1"/>
      <c r="R84" s="2"/>
      <c r="S84" s="1"/>
      <c r="T84" s="2"/>
      <c r="U84" s="1"/>
      <c r="V84" s="2"/>
      <c r="W84" s="1"/>
      <c r="X84" s="2"/>
      <c r="Y84" s="1"/>
      <c r="Z84" s="2"/>
      <c r="AA84" s="1"/>
      <c r="AB84" s="2"/>
      <c r="AC84" s="1"/>
      <c r="AD84" s="2"/>
      <c r="AE84" s="1"/>
      <c r="AF84" s="2"/>
      <c r="AG84" s="1"/>
      <c r="AH84" s="2"/>
      <c r="AI84" s="1"/>
      <c r="AJ84" s="2"/>
      <c r="AK84" s="1"/>
      <c r="AL84" s="2"/>
      <c r="AM84" s="1"/>
      <c r="AN84" s="2"/>
      <c r="AO84" s="1"/>
      <c r="AP84" s="2"/>
      <c r="AQ84" s="1"/>
      <c r="AR84" s="2"/>
      <c r="AS84" s="1"/>
      <c r="AT84" s="2"/>
      <c r="AU84" s="1"/>
      <c r="AV84" s="2"/>
      <c r="AW84" s="1"/>
      <c r="AX84" s="2"/>
      <c r="AY84" s="1"/>
      <c r="AZ84" s="2"/>
      <c r="BA84" s="1"/>
      <c r="BB84" s="2"/>
      <c r="BC84" s="1"/>
    </row>
    <row r="85" spans="4:55" x14ac:dyDescent="0.25">
      <c r="D85" s="2" t="s">
        <v>2</v>
      </c>
      <c r="E85" s="1" t="s">
        <v>430</v>
      </c>
      <c r="G85" t="s">
        <v>460</v>
      </c>
      <c r="H85" s="2" t="s">
        <v>6</v>
      </c>
      <c r="I85" s="1" t="str">
        <f t="shared" si="49"/>
        <v>1-PB</v>
      </c>
      <c r="J85" s="2"/>
      <c r="K85" s="1"/>
      <c r="L85" s="2"/>
      <c r="M85" s="1"/>
      <c r="N85" s="2"/>
      <c r="O85" s="1"/>
      <c r="P85" s="2"/>
      <c r="Q85" s="1"/>
      <c r="R85" s="2"/>
      <c r="S85" s="1"/>
      <c r="T85" s="2"/>
      <c r="U85" s="1"/>
      <c r="V85" s="2"/>
      <c r="W85" s="1"/>
      <c r="X85" s="2"/>
      <c r="Y85" s="1"/>
      <c r="Z85" s="2"/>
      <c r="AA85" s="1"/>
      <c r="AB85" s="2"/>
      <c r="AC85" s="1"/>
      <c r="AD85" s="2"/>
      <c r="AE85" s="1"/>
      <c r="AF85" s="2"/>
      <c r="AG85" s="1"/>
      <c r="AH85" s="2"/>
      <c r="AI85" s="1"/>
      <c r="AJ85" s="2"/>
      <c r="AK85" s="1"/>
      <c r="AL85" s="2"/>
      <c r="AM85" s="1"/>
      <c r="AN85" s="2"/>
      <c r="AO85" s="1"/>
      <c r="AP85" s="2"/>
      <c r="AQ85" s="1"/>
      <c r="AR85" s="2"/>
      <c r="AS85" s="1"/>
      <c r="AT85" s="2"/>
      <c r="AU85" s="1"/>
      <c r="AV85" s="2"/>
      <c r="AW85" s="1"/>
      <c r="AX85" s="2"/>
      <c r="AY85" s="1"/>
      <c r="AZ85" s="2"/>
      <c r="BA85" s="1"/>
      <c r="BB85" s="2"/>
      <c r="BC85" s="1"/>
    </row>
    <row r="86" spans="4:55" x14ac:dyDescent="0.25">
      <c r="D86" s="2" t="s">
        <v>2</v>
      </c>
      <c r="E86" s="1" t="s">
        <v>429</v>
      </c>
      <c r="G86" t="s">
        <v>458</v>
      </c>
      <c r="H86" s="2" t="s">
        <v>6</v>
      </c>
      <c r="I86" s="1" t="str">
        <f t="shared" si="49"/>
        <v>1-CA</v>
      </c>
      <c r="J86" s="2"/>
      <c r="K86" s="1"/>
      <c r="L86" s="2"/>
      <c r="M86" s="1"/>
      <c r="N86" s="2"/>
      <c r="O86" s="1"/>
      <c r="P86" s="2"/>
      <c r="Q86" s="1"/>
      <c r="R86" s="2"/>
      <c r="S86" s="1"/>
      <c r="T86" s="2"/>
      <c r="U86" s="1"/>
      <c r="V86" s="2"/>
      <c r="W86" s="1"/>
      <c r="X86" s="2"/>
      <c r="Y86" s="1"/>
      <c r="Z86" s="2"/>
      <c r="AA86" s="1"/>
      <c r="AB86" s="2"/>
      <c r="AC86" s="1"/>
      <c r="AD86" s="2"/>
      <c r="AE86" s="1"/>
      <c r="AF86" s="2"/>
      <c r="AG86" s="1"/>
      <c r="AH86" s="2"/>
      <c r="AI86" s="1"/>
      <c r="AJ86" s="2"/>
      <c r="AK86" s="1"/>
      <c r="AL86" s="2"/>
      <c r="AM86" s="1"/>
      <c r="AN86" s="2"/>
      <c r="AO86" s="1"/>
      <c r="AP86" s="2"/>
      <c r="AQ86" s="1"/>
      <c r="AR86" s="2"/>
      <c r="AS86" s="1"/>
      <c r="AT86" s="2"/>
      <c r="AU86" s="1"/>
      <c r="AV86" s="2"/>
      <c r="AW86" s="1"/>
      <c r="AX86" s="2"/>
      <c r="AY86" s="1"/>
      <c r="AZ86" s="2"/>
      <c r="BA86" s="1"/>
      <c r="BB86" s="2"/>
      <c r="BC86" s="1"/>
    </row>
    <row r="87" spans="4:55" x14ac:dyDescent="0.25">
      <c r="D87" s="2" t="s">
        <v>2</v>
      </c>
      <c r="E87" s="1" t="s">
        <v>428</v>
      </c>
      <c r="G87" t="s">
        <v>457</v>
      </c>
      <c r="H87" s="2" t="s">
        <v>6</v>
      </c>
      <c r="I87" s="1" t="str">
        <f t="shared" si="49"/>
        <v>1-CB</v>
      </c>
      <c r="J87" s="2"/>
      <c r="K87" s="1"/>
      <c r="L87" s="2"/>
      <c r="M87" s="1"/>
      <c r="N87" s="2"/>
      <c r="O87" s="1"/>
      <c r="P87" s="2"/>
      <c r="Q87" s="1"/>
      <c r="R87" s="2"/>
      <c r="S87" s="1"/>
      <c r="T87" s="2"/>
      <c r="U87" s="1"/>
      <c r="V87" s="2"/>
      <c r="W87" s="1"/>
      <c r="X87" s="2"/>
      <c r="Y87" s="1"/>
      <c r="Z87" s="2"/>
      <c r="AA87" s="1"/>
      <c r="AB87" s="2"/>
      <c r="AC87" s="1"/>
      <c r="AD87" s="2"/>
      <c r="AE87" s="1"/>
      <c r="AF87" s="2"/>
      <c r="AG87" s="1"/>
      <c r="AH87" s="2"/>
      <c r="AI87" s="1"/>
      <c r="AJ87" s="2"/>
      <c r="AK87" s="1"/>
      <c r="AL87" s="2"/>
      <c r="AM87" s="1"/>
      <c r="AN87" s="2"/>
      <c r="AO87" s="1"/>
      <c r="AP87" s="2"/>
      <c r="AQ87" s="1"/>
      <c r="AR87" s="2"/>
      <c r="AS87" s="1"/>
      <c r="AT87" s="2"/>
      <c r="AU87" s="1"/>
      <c r="AV87" s="2"/>
      <c r="AW87" s="1"/>
      <c r="AX87" s="2"/>
      <c r="AY87" s="1"/>
      <c r="AZ87" s="2"/>
      <c r="BA87" s="1"/>
      <c r="BB87" s="2"/>
      <c r="BC87" s="1"/>
    </row>
    <row r="88" spans="4:55" x14ac:dyDescent="0.25">
      <c r="D88" s="2" t="s">
        <v>2</v>
      </c>
      <c r="E88" s="1" t="s">
        <v>427</v>
      </c>
      <c r="G88" t="s">
        <v>456</v>
      </c>
      <c r="H88" s="2" t="s">
        <v>6</v>
      </c>
      <c r="I88" s="1" t="str">
        <f t="shared" si="49"/>
        <v>1-PCA</v>
      </c>
      <c r="J88" s="2" t="str">
        <f>$H88</f>
        <v>Static Electric Core</v>
      </c>
      <c r="K88" s="1" t="str">
        <f>K$2&amp;"-"&amp;$G88</f>
        <v>2-PCA</v>
      </c>
      <c r="L88" s="2" t="str">
        <f>$H88</f>
        <v>Static Electric Core</v>
      </c>
      <c r="M88" s="1" t="str">
        <f>M$2&amp;"-"&amp;$G88</f>
        <v>3-PCA</v>
      </c>
      <c r="N88" s="2" t="str">
        <f>$H88</f>
        <v>Static Electric Core</v>
      </c>
      <c r="O88" s="1" t="str">
        <f>O$2&amp;"-"&amp;$G88</f>
        <v>4-PCA</v>
      </c>
      <c r="P88" s="2" t="str">
        <f>$H88</f>
        <v>Static Electric Core</v>
      </c>
      <c r="Q88" s="1" t="str">
        <f>Q$2&amp;"-"&amp;$G88</f>
        <v>5-PCA</v>
      </c>
      <c r="R88" s="2" t="str">
        <f>$H88</f>
        <v>Static Electric Core</v>
      </c>
      <c r="S88" s="1" t="str">
        <f>S$2&amp;"-"&amp;$G88</f>
        <v>6-PCA</v>
      </c>
      <c r="T88" s="2" t="str">
        <f>$H88</f>
        <v>Static Electric Core</v>
      </c>
      <c r="U88" s="1" t="str">
        <f>U$2&amp;"-"&amp;$G88</f>
        <v>7-PCA</v>
      </c>
      <c r="V88" s="2" t="str">
        <f>$H88</f>
        <v>Static Electric Core</v>
      </c>
      <c r="W88" s="1" t="str">
        <f>W$2&amp;"-"&amp;$G88</f>
        <v>8-PCA</v>
      </c>
      <c r="X88" s="2" t="str">
        <f>$H88</f>
        <v>Static Electric Core</v>
      </c>
      <c r="Y88" s="1" t="str">
        <f>Y$2&amp;"-"&amp;$G88</f>
        <v>9-PCA</v>
      </c>
      <c r="Z88" s="2" t="str">
        <f>$H88</f>
        <v>Static Electric Core</v>
      </c>
      <c r="AA88" s="1" t="str">
        <f>AA$2&amp;"-"&amp;$G88</f>
        <v>10-PCA</v>
      </c>
      <c r="AB88" s="2"/>
      <c r="AC88" s="1"/>
      <c r="AD88" s="2"/>
      <c r="AE88" s="1"/>
      <c r="AF88" s="2" t="str">
        <f>$H88</f>
        <v>Static Electric Core</v>
      </c>
      <c r="AG88" s="1" t="str">
        <f>AG$2&amp;"-"&amp;$G88</f>
        <v>13-PCA</v>
      </c>
      <c r="AH88" s="2" t="str">
        <f>$H88</f>
        <v>Static Electric Core</v>
      </c>
      <c r="AI88" s="1" t="str">
        <f>AI$2&amp;"-"&amp;$G88</f>
        <v>14-PCA</v>
      </c>
      <c r="AJ88" s="2" t="str">
        <f>$H88</f>
        <v>Static Electric Core</v>
      </c>
      <c r="AK88" s="1" t="str">
        <f>AK$2&amp;"-"&amp;$G88</f>
        <v>15-PCA</v>
      </c>
      <c r="AL88" s="2" t="str">
        <f>$H88</f>
        <v>Static Electric Core</v>
      </c>
      <c r="AM88" s="1" t="str">
        <f>AM$2&amp;"-"&amp;$G88</f>
        <v>16-PCA</v>
      </c>
      <c r="AN88" s="2" t="str">
        <f>$H88</f>
        <v>Static Electric Core</v>
      </c>
      <c r="AO88" s="1" t="str">
        <f>AO$2&amp;"-"&amp;$G88</f>
        <v>17-PCA</v>
      </c>
      <c r="AP88" s="2"/>
      <c r="AQ88" s="1"/>
      <c r="AR88" s="2"/>
      <c r="AS88" s="1"/>
      <c r="AT88" s="2"/>
      <c r="AU88" s="1"/>
      <c r="AV88" s="2"/>
      <c r="AW88" s="1"/>
      <c r="AX88" s="2" t="str">
        <f>$H88</f>
        <v>Static Electric Core</v>
      </c>
      <c r="AY88" s="1" t="str">
        <f>AY$2&amp;"-"&amp;$G88</f>
        <v>22-PCA</v>
      </c>
      <c r="AZ88" s="2" t="str">
        <f>$H88</f>
        <v>Static Electric Core</v>
      </c>
      <c r="BA88" s="1" t="str">
        <f>BA$2&amp;"-"&amp;$G88</f>
        <v>23-PCA</v>
      </c>
      <c r="BB88" s="2" t="str">
        <f>$H88</f>
        <v>Static Electric Core</v>
      </c>
      <c r="BC88" s="1" t="str">
        <f>BC$2&amp;"-"&amp;$G88</f>
        <v>SCM-PCA</v>
      </c>
    </row>
    <row r="89" spans="4:55" x14ac:dyDescent="0.25">
      <c r="D89" s="2" t="s">
        <v>2</v>
      </c>
      <c r="E89" s="1" t="s">
        <v>426</v>
      </c>
      <c r="G89" t="s">
        <v>455</v>
      </c>
      <c r="H89" s="2" t="s">
        <v>6</v>
      </c>
      <c r="I89" s="1" t="str">
        <f t="shared" si="49"/>
        <v>1-PCB</v>
      </c>
      <c r="J89" s="2" t="str">
        <f>$H89</f>
        <v>Static Electric Core</v>
      </c>
      <c r="K89" s="1" t="str">
        <f>K$2&amp;"-"&amp;$G89</f>
        <v>2-PCB</v>
      </c>
      <c r="L89" s="2" t="str">
        <f>$H89</f>
        <v>Static Electric Core</v>
      </c>
      <c r="M89" s="1" t="str">
        <f>M$2&amp;"-"&amp;$G89</f>
        <v>3-PCB</v>
      </c>
      <c r="N89" s="2" t="str">
        <f>$H89</f>
        <v>Static Electric Core</v>
      </c>
      <c r="O89" s="1" t="str">
        <f>O$2&amp;"-"&amp;$G89</f>
        <v>4-PCB</v>
      </c>
      <c r="P89" s="2" t="str">
        <f>$H89</f>
        <v>Static Electric Core</v>
      </c>
      <c r="Q89" s="1" t="str">
        <f>Q$2&amp;"-"&amp;$G89</f>
        <v>5-PCB</v>
      </c>
      <c r="R89" s="2" t="str">
        <f>$H89</f>
        <v>Static Electric Core</v>
      </c>
      <c r="S89" s="1" t="str">
        <f>S$2&amp;"-"&amp;$G89</f>
        <v>6-PCB</v>
      </c>
      <c r="T89" s="2" t="str">
        <f>$H89</f>
        <v>Static Electric Core</v>
      </c>
      <c r="U89" s="1" t="str">
        <f>U$2&amp;"-"&amp;$G89</f>
        <v>7-PCB</v>
      </c>
      <c r="V89" s="2" t="str">
        <f>$H89</f>
        <v>Static Electric Core</v>
      </c>
      <c r="W89" s="1" t="str">
        <f>W$2&amp;"-"&amp;$G89</f>
        <v>8-PCB</v>
      </c>
      <c r="X89" s="2" t="str">
        <f>$H89</f>
        <v>Static Electric Core</v>
      </c>
      <c r="Y89" s="1" t="str">
        <f>Y$2&amp;"-"&amp;$G89</f>
        <v>9-PCB</v>
      </c>
      <c r="Z89" s="2" t="str">
        <f>$H89</f>
        <v>Static Electric Core</v>
      </c>
      <c r="AA89" s="1" t="str">
        <f>AA$2&amp;"-"&amp;$G89</f>
        <v>10-PCB</v>
      </c>
      <c r="AB89" s="2"/>
      <c r="AC89" s="1"/>
      <c r="AD89" s="2"/>
      <c r="AE89" s="1"/>
      <c r="AF89" s="2" t="str">
        <f>$H89</f>
        <v>Static Electric Core</v>
      </c>
      <c r="AG89" s="1" t="str">
        <f>AG$2&amp;"-"&amp;$G89</f>
        <v>13-PCB</v>
      </c>
      <c r="AH89" s="2" t="str">
        <f>$H89</f>
        <v>Static Electric Core</v>
      </c>
      <c r="AI89" s="1" t="str">
        <f>AI$2&amp;"-"&amp;$G89</f>
        <v>14-PCB</v>
      </c>
      <c r="AJ89" s="2" t="str">
        <f>$H89</f>
        <v>Static Electric Core</v>
      </c>
      <c r="AK89" s="1" t="str">
        <f>AK$2&amp;"-"&amp;$G89</f>
        <v>15-PCB</v>
      </c>
      <c r="AL89" s="2" t="str">
        <f>$H89</f>
        <v>Static Electric Core</v>
      </c>
      <c r="AM89" s="1" t="str">
        <f>AM$2&amp;"-"&amp;$G89</f>
        <v>16-PCB</v>
      </c>
      <c r="AN89" s="2" t="str">
        <f>$H89</f>
        <v>Static Electric Core</v>
      </c>
      <c r="AO89" s="1" t="str">
        <f>AO$2&amp;"-"&amp;$G89</f>
        <v>17-PCB</v>
      </c>
      <c r="AP89" s="2"/>
      <c r="AQ89" s="1"/>
      <c r="AR89" s="2"/>
      <c r="AS89" s="1"/>
      <c r="AT89" s="2"/>
      <c r="AU89" s="1"/>
      <c r="AV89" s="2"/>
      <c r="AW89" s="1"/>
      <c r="AX89" s="2" t="str">
        <f>$H89</f>
        <v>Static Electric Core</v>
      </c>
      <c r="AY89" s="1" t="str">
        <f>AY$2&amp;"-"&amp;$G89</f>
        <v>22-PCB</v>
      </c>
      <c r="AZ89" s="2" t="str">
        <f>$H89</f>
        <v>Static Electric Core</v>
      </c>
      <c r="BA89" s="1" t="str">
        <f>BA$2&amp;"-"&amp;$G89</f>
        <v>23-PCB</v>
      </c>
      <c r="BB89" s="2" t="str">
        <f>$H89</f>
        <v>Static Electric Core</v>
      </c>
      <c r="BC89" s="1" t="str">
        <f>BC$2&amp;"-"&amp;$G89</f>
        <v>SCM-PCB</v>
      </c>
    </row>
    <row r="90" spans="4:55" x14ac:dyDescent="0.25">
      <c r="D90" s="2" t="s">
        <v>2</v>
      </c>
      <c r="E90" s="1" t="s">
        <v>425</v>
      </c>
      <c r="G90" t="s">
        <v>18</v>
      </c>
      <c r="H90" s="2" t="s">
        <v>5</v>
      </c>
      <c r="I90" s="1" t="str">
        <f t="shared" si="49"/>
        <v>1-D5</v>
      </c>
      <c r="J90" s="2" t="str">
        <f>$H90</f>
        <v>Power/Signal Coupling</v>
      </c>
      <c r="K90" s="1" t="str">
        <f>K$2&amp;"-"&amp;$G90</f>
        <v>2-D5</v>
      </c>
      <c r="L90" s="2" t="str">
        <f>$H90</f>
        <v>Power/Signal Coupling</v>
      </c>
      <c r="M90" s="1" t="str">
        <f>M$2&amp;"-"&amp;$G90</f>
        <v>3-D5</v>
      </c>
      <c r="N90" s="2" t="str">
        <f>$H90</f>
        <v>Power/Signal Coupling</v>
      </c>
      <c r="O90" s="1" t="str">
        <f>O$2&amp;"-"&amp;$G90</f>
        <v>4-D5</v>
      </c>
      <c r="P90" s="2" t="str">
        <f>$H90</f>
        <v>Power/Signal Coupling</v>
      </c>
      <c r="Q90" s="1" t="str">
        <f>Q$2&amp;"-"&amp;$G90</f>
        <v>5-D5</v>
      </c>
      <c r="R90" s="2" t="str">
        <f>$H90</f>
        <v>Power/Signal Coupling</v>
      </c>
      <c r="S90" s="1" t="str">
        <f>S$2&amp;"-"&amp;$G90</f>
        <v>6-D5</v>
      </c>
      <c r="T90" s="2" t="str">
        <f>$H90</f>
        <v>Power/Signal Coupling</v>
      </c>
      <c r="U90" s="1" t="str">
        <f>U$2&amp;"-"&amp;$G90</f>
        <v>7-D5</v>
      </c>
      <c r="V90" s="2" t="str">
        <f>$H90</f>
        <v>Power/Signal Coupling</v>
      </c>
      <c r="W90" s="1" t="str">
        <f>W$2&amp;"-"&amp;$G90</f>
        <v>8-D5</v>
      </c>
      <c r="X90" s="2" t="str">
        <f>$H90</f>
        <v>Power/Signal Coupling</v>
      </c>
      <c r="Y90" s="1" t="str">
        <f>Y$2&amp;"-"&amp;$G90</f>
        <v>9-D5</v>
      </c>
      <c r="Z90" s="2" t="str">
        <f>$H90</f>
        <v>Power/Signal Coupling</v>
      </c>
      <c r="AA90" s="1" t="str">
        <f>AA$2&amp;"-"&amp;$G90</f>
        <v>10-D5</v>
      </c>
      <c r="AB90" s="2"/>
      <c r="AC90" s="1"/>
      <c r="AD90" s="2"/>
      <c r="AE90" s="1"/>
      <c r="AF90" s="2" t="str">
        <f>$H90</f>
        <v>Power/Signal Coupling</v>
      </c>
      <c r="AG90" s="1" t="str">
        <f>AG$2&amp;"-"&amp;$G90</f>
        <v>13-D5</v>
      </c>
      <c r="AH90" s="2" t="str">
        <f>$H90</f>
        <v>Power/Signal Coupling</v>
      </c>
      <c r="AI90" s="1" t="str">
        <f>AI$2&amp;"-"&amp;$G90</f>
        <v>14-D5</v>
      </c>
      <c r="AJ90" s="2" t="str">
        <f>$H90</f>
        <v>Power/Signal Coupling</v>
      </c>
      <c r="AK90" s="1" t="str">
        <f>AK$2&amp;"-"&amp;$G90</f>
        <v>15-D5</v>
      </c>
      <c r="AL90" s="2" t="str">
        <f>$H90</f>
        <v>Power/Signal Coupling</v>
      </c>
      <c r="AM90" s="1" t="str">
        <f>AM$2&amp;"-"&amp;$G90</f>
        <v>16-D5</v>
      </c>
      <c r="AN90" s="2" t="str">
        <f>$H90</f>
        <v>Power/Signal Coupling</v>
      </c>
      <c r="AO90" s="1" t="str">
        <f>AO$2&amp;"-"&amp;$G90</f>
        <v>17-D5</v>
      </c>
      <c r="AP90" s="2"/>
      <c r="AQ90" s="1"/>
      <c r="AR90" s="2"/>
      <c r="AS90" s="1"/>
      <c r="AT90" s="2"/>
      <c r="AU90" s="1"/>
      <c r="AV90" s="2"/>
      <c r="AW90" s="1"/>
      <c r="AX90" s="2" t="str">
        <f>$H90</f>
        <v>Power/Signal Coupling</v>
      </c>
      <c r="AY90" s="1" t="str">
        <f>AY$2&amp;"-"&amp;$G90</f>
        <v>22-D5</v>
      </c>
      <c r="AZ90" s="2" t="str">
        <f>$H90</f>
        <v>Power/Signal Coupling</v>
      </c>
      <c r="BA90" s="1" t="str">
        <f>BA$2&amp;"-"&amp;$G90</f>
        <v>23-D5</v>
      </c>
      <c r="BB90" s="2" t="str">
        <f>$H90</f>
        <v>Power/Signal Coupling</v>
      </c>
      <c r="BC90" s="1" t="str">
        <f>BC$2&amp;"-"&amp;$G90</f>
        <v>SCM-D5</v>
      </c>
    </row>
    <row r="91" spans="4:55" x14ac:dyDescent="0.25">
      <c r="D91" s="2" t="s">
        <v>2</v>
      </c>
      <c r="E91" s="1" t="s">
        <v>424</v>
      </c>
      <c r="G91" t="s">
        <v>8</v>
      </c>
      <c r="H91" s="2" t="s">
        <v>5</v>
      </c>
      <c r="I91" s="1" t="str">
        <f t="shared" si="49"/>
        <v>1-D6</v>
      </c>
      <c r="J91" s="2" t="str">
        <f>$H91</f>
        <v>Power/Signal Coupling</v>
      </c>
      <c r="K91" s="1" t="str">
        <f>K$2&amp;"-"&amp;$G91</f>
        <v>2-D6</v>
      </c>
      <c r="L91" s="2" t="str">
        <f>$H91</f>
        <v>Power/Signal Coupling</v>
      </c>
      <c r="M91" s="1" t="str">
        <f>M$2&amp;"-"&amp;$G91</f>
        <v>3-D6</v>
      </c>
      <c r="N91" s="2" t="str">
        <f>$H91</f>
        <v>Power/Signal Coupling</v>
      </c>
      <c r="O91" s="1" t="str">
        <f>O$2&amp;"-"&amp;$G91</f>
        <v>4-D6</v>
      </c>
      <c r="P91" s="2" t="str">
        <f>$H91</f>
        <v>Power/Signal Coupling</v>
      </c>
      <c r="Q91" s="1" t="str">
        <f>Q$2&amp;"-"&amp;$G91</f>
        <v>5-D6</v>
      </c>
      <c r="R91" s="2" t="str">
        <f>$H91</f>
        <v>Power/Signal Coupling</v>
      </c>
      <c r="S91" s="1" t="str">
        <f>S$2&amp;"-"&amp;$G91</f>
        <v>6-D6</v>
      </c>
      <c r="T91" s="2" t="str">
        <f>$H91</f>
        <v>Power/Signal Coupling</v>
      </c>
      <c r="U91" s="1" t="str">
        <f>U$2&amp;"-"&amp;$G91</f>
        <v>7-D6</v>
      </c>
      <c r="V91" s="2" t="str">
        <f>$H91</f>
        <v>Power/Signal Coupling</v>
      </c>
      <c r="W91" s="1" t="str">
        <f>W$2&amp;"-"&amp;$G91</f>
        <v>8-D6</v>
      </c>
      <c r="X91" s="2" t="str">
        <f>$H91</f>
        <v>Power/Signal Coupling</v>
      </c>
      <c r="Y91" s="1" t="str">
        <f>Y$2&amp;"-"&amp;$G91</f>
        <v>9-D6</v>
      </c>
      <c r="Z91" s="2" t="str">
        <f>$H91</f>
        <v>Power/Signal Coupling</v>
      </c>
      <c r="AA91" s="1" t="str">
        <f>AA$2&amp;"-"&amp;$G91</f>
        <v>10-D6</v>
      </c>
      <c r="AB91" s="2"/>
      <c r="AC91" s="1"/>
      <c r="AD91" s="2"/>
      <c r="AE91" s="1"/>
      <c r="AF91" s="2" t="str">
        <f>$H91</f>
        <v>Power/Signal Coupling</v>
      </c>
      <c r="AG91" s="1" t="str">
        <f>AG$2&amp;"-"&amp;$G91</f>
        <v>13-D6</v>
      </c>
      <c r="AH91" s="2" t="str">
        <f>$H91</f>
        <v>Power/Signal Coupling</v>
      </c>
      <c r="AI91" s="1" t="str">
        <f>AI$2&amp;"-"&amp;$G91</f>
        <v>14-D6</v>
      </c>
      <c r="AJ91" s="2" t="str">
        <f>$H91</f>
        <v>Power/Signal Coupling</v>
      </c>
      <c r="AK91" s="1" t="str">
        <f>AK$2&amp;"-"&amp;$G91</f>
        <v>15-D6</v>
      </c>
      <c r="AL91" s="2" t="str">
        <f>$H91</f>
        <v>Power/Signal Coupling</v>
      </c>
      <c r="AM91" s="1" t="str">
        <f>AM$2&amp;"-"&amp;$G91</f>
        <v>16-D6</v>
      </c>
      <c r="AN91" s="2" t="str">
        <f>$H91</f>
        <v>Power/Signal Coupling</v>
      </c>
      <c r="AO91" s="1" t="str">
        <f>AO$2&amp;"-"&amp;$G91</f>
        <v>17-D6</v>
      </c>
      <c r="AP91" s="2"/>
      <c r="AQ91" s="1"/>
      <c r="AR91" s="2"/>
      <c r="AS91" s="1"/>
      <c r="AT91" s="2"/>
      <c r="AU91" s="1"/>
      <c r="AV91" s="2"/>
      <c r="AW91" s="1"/>
      <c r="AX91" s="2" t="str">
        <f>$H91</f>
        <v>Power/Signal Coupling</v>
      </c>
      <c r="AY91" s="1" t="str">
        <f>AY$2&amp;"-"&amp;$G91</f>
        <v>22-D6</v>
      </c>
      <c r="AZ91" s="2" t="str">
        <f>$H91</f>
        <v>Power/Signal Coupling</v>
      </c>
      <c r="BA91" s="1" t="str">
        <f>BA$2&amp;"-"&amp;$G91</f>
        <v>23-D6</v>
      </c>
      <c r="BB91" s="2" t="str">
        <f>$H91</f>
        <v>Power/Signal Coupling</v>
      </c>
      <c r="BC91" s="1" t="str">
        <f>BC$2&amp;"-"&amp;$G91</f>
        <v>SCM-D6</v>
      </c>
    </row>
    <row r="92" spans="4:55" x14ac:dyDescent="0.25">
      <c r="D92" s="2" t="s">
        <v>2</v>
      </c>
      <c r="E92" s="1" t="s">
        <v>423</v>
      </c>
      <c r="G92" t="s">
        <v>454</v>
      </c>
      <c r="H92" s="2" t="s">
        <v>6</v>
      </c>
      <c r="I92" s="1"/>
      <c r="J92" s="2"/>
      <c r="K92" s="1"/>
      <c r="L92" s="2"/>
      <c r="M92" s="1"/>
      <c r="N92" s="2"/>
      <c r="O92" s="1"/>
      <c r="P92" s="2"/>
      <c r="Q92" s="1"/>
      <c r="R92" s="2"/>
      <c r="S92" s="1"/>
      <c r="T92" s="2"/>
      <c r="U92" s="1"/>
      <c r="V92" s="2"/>
      <c r="W92" s="1"/>
      <c r="X92" s="2"/>
      <c r="Y92" s="1"/>
      <c r="Z92" s="2"/>
      <c r="AA92" s="1"/>
      <c r="AB92" s="2"/>
      <c r="AC92" s="1"/>
      <c r="AD92" s="2"/>
      <c r="AE92" s="1"/>
      <c r="AF92" s="2"/>
      <c r="AG92" s="1"/>
      <c r="AH92" s="2"/>
      <c r="AI92" s="1"/>
      <c r="AJ92" s="2"/>
      <c r="AK92" s="1"/>
      <c r="AL92" s="2"/>
      <c r="AM92" s="1"/>
      <c r="AN92" s="2"/>
      <c r="AO92" s="1"/>
      <c r="AP92" s="2" t="str">
        <f>$H92</f>
        <v>Static Electric Core</v>
      </c>
      <c r="AQ92" s="1" t="str">
        <f>AQ$2&amp;"-"&amp;$G92</f>
        <v>18-PRESSURE</v>
      </c>
      <c r="AR92" s="2" t="str">
        <f>$H92</f>
        <v>Static Electric Core</v>
      </c>
      <c r="AS92" s="1" t="str">
        <f>AS$2&amp;"-"&amp;$G92</f>
        <v>19-PRESSURE</v>
      </c>
      <c r="AT92" s="2" t="str">
        <f>$H92</f>
        <v>Static Electric Core</v>
      </c>
      <c r="AU92" s="1" t="str">
        <f>AU$2&amp;"-"&amp;$G92</f>
        <v>20-PRESSURE</v>
      </c>
      <c r="AV92" s="2"/>
      <c r="AW92" s="1"/>
      <c r="AX92" s="2"/>
      <c r="AY92" s="1"/>
      <c r="AZ92" s="2"/>
      <c r="BA92" s="1"/>
      <c r="BB92" s="2"/>
      <c r="BC92" s="1"/>
    </row>
    <row r="93" spans="4:55" x14ac:dyDescent="0.25">
      <c r="D93" s="2" t="s">
        <v>1</v>
      </c>
      <c r="E93" s="1" t="s">
        <v>422</v>
      </c>
      <c r="G93" t="s">
        <v>453</v>
      </c>
      <c r="H93" s="2" t="s">
        <v>6</v>
      </c>
      <c r="I93" s="1"/>
      <c r="J93" s="2"/>
      <c r="K93" s="1"/>
      <c r="L93" s="2"/>
      <c r="M93" s="1"/>
      <c r="N93" s="2"/>
      <c r="O93" s="1"/>
      <c r="P93" s="2"/>
      <c r="Q93" s="1"/>
      <c r="R93" s="2"/>
      <c r="S93" s="1"/>
      <c r="T93" s="2"/>
      <c r="U93" s="1"/>
      <c r="V93" s="2"/>
      <c r="W93" s="1"/>
      <c r="X93" s="2"/>
      <c r="Y93" s="1"/>
      <c r="Z93" s="2"/>
      <c r="AA93" s="1"/>
      <c r="AB93" s="2"/>
      <c r="AC93" s="1"/>
      <c r="AD93" s="2"/>
      <c r="AE93" s="1"/>
      <c r="AF93" s="2"/>
      <c r="AG93" s="1"/>
      <c r="AH93" s="2"/>
      <c r="AI93" s="1"/>
      <c r="AJ93" s="2"/>
      <c r="AK93" s="1"/>
      <c r="AL93" s="2"/>
      <c r="AM93" s="1"/>
      <c r="AN93" s="2"/>
      <c r="AO93" s="1"/>
      <c r="AP93" s="2" t="str">
        <f>$H93</f>
        <v>Static Electric Core</v>
      </c>
      <c r="AQ93" s="1" t="str">
        <f>AQ$2&amp;"-"&amp;$G93</f>
        <v>18-WIFLOW</v>
      </c>
      <c r="AR93" s="2" t="str">
        <f>$H93</f>
        <v>Static Electric Core</v>
      </c>
      <c r="AS93" s="1" t="str">
        <f>AS$2&amp;"-"&amp;$G93</f>
        <v>19-WIFLOW</v>
      </c>
      <c r="AT93" s="2" t="str">
        <f>$H93</f>
        <v>Static Electric Core</v>
      </c>
      <c r="AU93" s="1" t="str">
        <f>AU$2&amp;"-"&amp;$G93</f>
        <v>20-WIFLOW</v>
      </c>
      <c r="AV93" s="2"/>
      <c r="AW93" s="1"/>
      <c r="AX93" s="2"/>
      <c r="AY93" s="1"/>
      <c r="AZ93" s="2"/>
      <c r="BA93" s="1"/>
      <c r="BB93" s="2"/>
      <c r="BC93" s="1"/>
    </row>
    <row r="94" spans="4:55" x14ac:dyDescent="0.25">
      <c r="D94" s="2" t="s">
        <v>2</v>
      </c>
      <c r="E94" s="1" t="s">
        <v>421</v>
      </c>
      <c r="G94" t="s">
        <v>8</v>
      </c>
      <c r="H94" s="2" t="s">
        <v>5</v>
      </c>
      <c r="I94" s="1"/>
      <c r="J94" s="2"/>
      <c r="K94" s="1"/>
      <c r="L94" s="2"/>
      <c r="M94" s="1"/>
      <c r="N94" s="2"/>
      <c r="O94" s="1"/>
      <c r="P94" s="2"/>
      <c r="Q94" s="1"/>
      <c r="R94" s="2"/>
      <c r="S94" s="1"/>
      <c r="T94" s="2"/>
      <c r="U94" s="1"/>
      <c r="V94" s="2"/>
      <c r="W94" s="1"/>
      <c r="X94" s="2"/>
      <c r="Y94" s="1"/>
      <c r="Z94" s="2"/>
      <c r="AA94" s="1"/>
      <c r="AB94" s="2"/>
      <c r="AC94" s="1"/>
      <c r="AD94" s="2"/>
      <c r="AE94" s="1"/>
      <c r="AF94" s="2"/>
      <c r="AG94" s="1"/>
      <c r="AH94" s="2"/>
      <c r="AI94" s="1"/>
      <c r="AJ94" s="2"/>
      <c r="AK94" s="1"/>
      <c r="AL94" s="2"/>
      <c r="AM94" s="1"/>
      <c r="AN94" s="2"/>
      <c r="AO94" s="1"/>
      <c r="AP94" s="2" t="str">
        <f>$H94</f>
        <v>Power/Signal Coupling</v>
      </c>
      <c r="AQ94" s="1" t="str">
        <f>AQ$2&amp;"-"&amp;$G94</f>
        <v>18-D6</v>
      </c>
      <c r="AR94" s="2" t="str">
        <f>$H94</f>
        <v>Power/Signal Coupling</v>
      </c>
      <c r="AS94" s="1" t="str">
        <f>AS$2&amp;"-"&amp;$G94</f>
        <v>19-D6</v>
      </c>
      <c r="AT94" s="2" t="str">
        <f>$H94</f>
        <v>Power/Signal Coupling</v>
      </c>
      <c r="AU94" s="1" t="str">
        <f>AU$2&amp;"-"&amp;$G94</f>
        <v>20-D6</v>
      </c>
      <c r="AV94" s="2" t="str">
        <f>$H94</f>
        <v>Power/Signal Coupling</v>
      </c>
      <c r="AW94" s="1" t="str">
        <f>AW$2&amp;"-"&amp;$G94</f>
        <v>21-D6</v>
      </c>
      <c r="AX94" s="2"/>
      <c r="AY94" s="1"/>
      <c r="AZ94" s="2"/>
      <c r="BA94" s="1"/>
      <c r="BB94" s="2"/>
      <c r="BC94" s="1"/>
    </row>
    <row r="95" spans="4:55" x14ac:dyDescent="0.25">
      <c r="D95" s="2" t="s">
        <v>2</v>
      </c>
      <c r="E95" s="1" t="s">
        <v>420</v>
      </c>
      <c r="G95" t="s">
        <v>17</v>
      </c>
      <c r="H95" s="2" t="s">
        <v>5</v>
      </c>
      <c r="I95" s="1"/>
      <c r="J95" s="2"/>
      <c r="K95" s="1"/>
      <c r="L95" s="2"/>
      <c r="M95" s="1"/>
      <c r="N95" s="2"/>
      <c r="O95" s="1"/>
      <c r="P95" s="2"/>
      <c r="Q95" s="1"/>
      <c r="R95" s="2"/>
      <c r="S95" s="1"/>
      <c r="T95" s="2"/>
      <c r="U95" s="1"/>
      <c r="V95" s="2"/>
      <c r="W95" s="1"/>
      <c r="X95" s="2"/>
      <c r="Y95" s="1"/>
      <c r="Z95" s="2"/>
      <c r="AA95" s="1"/>
      <c r="AB95" s="2"/>
      <c r="AC95" s="1"/>
      <c r="AD95" s="2"/>
      <c r="AE95" s="1"/>
      <c r="AF95" s="2"/>
      <c r="AG95" s="1"/>
      <c r="AH95" s="2"/>
      <c r="AI95" s="1"/>
      <c r="AJ95" s="2"/>
      <c r="AK95" s="1"/>
      <c r="AL95" s="2"/>
      <c r="AM95" s="1"/>
      <c r="AN95" s="2"/>
      <c r="AO95" s="1"/>
      <c r="AP95" s="2" t="str">
        <f>$H95</f>
        <v>Power/Signal Coupling</v>
      </c>
      <c r="AQ95" s="1" t="str">
        <f>AQ$2&amp;"-"&amp;$G95</f>
        <v>18-D7</v>
      </c>
      <c r="AR95" s="2" t="str">
        <f>$H95</f>
        <v>Power/Signal Coupling</v>
      </c>
      <c r="AS95" s="1" t="str">
        <f>AS$2&amp;"-"&amp;$G95</f>
        <v>19-D7</v>
      </c>
      <c r="AT95" s="2" t="str">
        <f>$H95</f>
        <v>Power/Signal Coupling</v>
      </c>
      <c r="AU95" s="1" t="str">
        <f>AU$2&amp;"-"&amp;$G95</f>
        <v>20-D7</v>
      </c>
      <c r="AV95" s="2" t="str">
        <f>$H95</f>
        <v>Power/Signal Coupling</v>
      </c>
      <c r="AW95" s="1" t="str">
        <f>AW$2&amp;"-"&amp;$G95</f>
        <v>21-D7</v>
      </c>
      <c r="AX95" s="2"/>
      <c r="AY95" s="1"/>
      <c r="AZ95" s="2"/>
      <c r="BA95" s="1"/>
      <c r="BB95" s="2"/>
      <c r="BC95" s="1"/>
    </row>
    <row r="96" spans="4:55" x14ac:dyDescent="0.25">
      <c r="D96" s="2" t="s">
        <v>2</v>
      </c>
      <c r="E96" s="1" t="s">
        <v>419</v>
      </c>
      <c r="G96" t="s">
        <v>355</v>
      </c>
      <c r="H96" s="2" t="s">
        <v>5</v>
      </c>
      <c r="I96" t="str">
        <f>G96</f>
        <v>PWR1</v>
      </c>
    </row>
    <row r="97" spans="4:9" x14ac:dyDescent="0.25">
      <c r="D97" s="2" t="s">
        <v>1</v>
      </c>
      <c r="E97" s="1" t="s">
        <v>418</v>
      </c>
      <c r="G97" t="s">
        <v>354</v>
      </c>
      <c r="H97" s="2" t="s">
        <v>5</v>
      </c>
      <c r="I97" t="str">
        <f>G97</f>
        <v>SIG1</v>
      </c>
    </row>
    <row r="98" spans="4:9" x14ac:dyDescent="0.25">
      <c r="D98" s="2" t="s">
        <v>2</v>
      </c>
      <c r="E98" s="1" t="s">
        <v>417</v>
      </c>
      <c r="G98" t="s">
        <v>353</v>
      </c>
      <c r="H98" s="2" t="s">
        <v>5</v>
      </c>
      <c r="I98" t="str">
        <f>G98</f>
        <v>PWR2</v>
      </c>
    </row>
    <row r="99" spans="4:9" x14ac:dyDescent="0.25">
      <c r="D99" s="2" t="s">
        <v>2</v>
      </c>
      <c r="E99" s="1" t="s">
        <v>416</v>
      </c>
      <c r="G99" t="s">
        <v>352</v>
      </c>
      <c r="H99" s="2" t="s">
        <v>5</v>
      </c>
      <c r="I99" t="str">
        <f>G99</f>
        <v>SIG2</v>
      </c>
    </row>
    <row r="100" spans="4:9" x14ac:dyDescent="0.25">
      <c r="D100" s="2" t="s">
        <v>2</v>
      </c>
      <c r="E100" s="1" t="s">
        <v>415</v>
      </c>
    </row>
    <row r="101" spans="4:9" x14ac:dyDescent="0.25">
      <c r="D101" s="2" t="s">
        <v>2</v>
      </c>
      <c r="E101" s="1" t="s">
        <v>414</v>
      </c>
    </row>
    <row r="102" spans="4:9" x14ac:dyDescent="0.25">
      <c r="D102" s="2" t="s">
        <v>1</v>
      </c>
      <c r="E102" s="1" t="s">
        <v>413</v>
      </c>
    </row>
    <row r="103" spans="4:9" x14ac:dyDescent="0.25">
      <c r="D103" s="2" t="s">
        <v>2</v>
      </c>
      <c r="E103" s="1" t="s">
        <v>412</v>
      </c>
    </row>
    <row r="104" spans="4:9" x14ac:dyDescent="0.25">
      <c r="D104" s="2" t="s">
        <v>2</v>
      </c>
      <c r="E104" s="1" t="s">
        <v>411</v>
      </c>
    </row>
    <row r="105" spans="4:9" x14ac:dyDescent="0.25">
      <c r="D105" s="2" t="s">
        <v>2</v>
      </c>
      <c r="E105" s="1" t="s">
        <v>410</v>
      </c>
    </row>
    <row r="106" spans="4:9" x14ac:dyDescent="0.25">
      <c r="D106" s="2" t="s">
        <v>1</v>
      </c>
      <c r="E106" s="1" t="s">
        <v>409</v>
      </c>
    </row>
    <row r="107" spans="4:9" x14ac:dyDescent="0.25">
      <c r="D107" s="2" t="s">
        <v>1</v>
      </c>
      <c r="E107" s="1" t="s">
        <v>408</v>
      </c>
    </row>
    <row r="108" spans="4:9" x14ac:dyDescent="0.25">
      <c r="D108" s="2" t="s">
        <v>1</v>
      </c>
      <c r="E108" s="1" t="s">
        <v>407</v>
      </c>
    </row>
    <row r="109" spans="4:9" x14ac:dyDescent="0.25">
      <c r="D109" s="2" t="s">
        <v>1</v>
      </c>
      <c r="E109" s="1" t="s">
        <v>406</v>
      </c>
    </row>
    <row r="110" spans="4:9" x14ac:dyDescent="0.25">
      <c r="D110" s="2" t="s">
        <v>1</v>
      </c>
      <c r="E110" s="1" t="s">
        <v>405</v>
      </c>
    </row>
    <row r="111" spans="4:9" x14ac:dyDescent="0.25">
      <c r="D111" s="2" t="s">
        <v>5</v>
      </c>
      <c r="E111" s="1" t="s">
        <v>331</v>
      </c>
    </row>
    <row r="112" spans="4:9" x14ac:dyDescent="0.25">
      <c r="D112" s="2" t="s">
        <v>5</v>
      </c>
      <c r="E112" s="1" t="s">
        <v>330</v>
      </c>
    </row>
    <row r="113" spans="4:5" x14ac:dyDescent="0.25">
      <c r="D113" s="2" t="s">
        <v>1</v>
      </c>
      <c r="E113" s="1" t="s">
        <v>404</v>
      </c>
    </row>
    <row r="114" spans="4:5" x14ac:dyDescent="0.25">
      <c r="D114" s="2" t="s">
        <v>1</v>
      </c>
      <c r="E114" s="1" t="s">
        <v>403</v>
      </c>
    </row>
    <row r="115" spans="4:5" x14ac:dyDescent="0.25">
      <c r="D115" s="2" t="s">
        <v>1</v>
      </c>
      <c r="E115" s="1" t="s">
        <v>402</v>
      </c>
    </row>
    <row r="116" spans="4:5" x14ac:dyDescent="0.25">
      <c r="D116" s="2" t="s">
        <v>1</v>
      </c>
      <c r="E116" s="1" t="s">
        <v>401</v>
      </c>
    </row>
    <row r="117" spans="4:5" x14ac:dyDescent="0.25">
      <c r="D117" s="2" t="s">
        <v>5</v>
      </c>
      <c r="E117" s="1" t="s">
        <v>329</v>
      </c>
    </row>
    <row r="118" spans="4:5" x14ac:dyDescent="0.25">
      <c r="D118" s="2" t="s">
        <v>5</v>
      </c>
      <c r="E118" s="1" t="s">
        <v>328</v>
      </c>
    </row>
    <row r="119" spans="4:5" x14ac:dyDescent="0.25">
      <c r="D119" s="2" t="s">
        <v>1</v>
      </c>
      <c r="E119" s="1" t="s">
        <v>400</v>
      </c>
    </row>
    <row r="120" spans="4:5" x14ac:dyDescent="0.25">
      <c r="D120" s="2" t="s">
        <v>1</v>
      </c>
      <c r="E120" s="1" t="s">
        <v>399</v>
      </c>
    </row>
    <row r="121" spans="4:5" x14ac:dyDescent="0.25">
      <c r="D121" s="2" t="s">
        <v>1</v>
      </c>
      <c r="E121" s="1" t="s">
        <v>398</v>
      </c>
    </row>
    <row r="122" spans="4:5" x14ac:dyDescent="0.25">
      <c r="D122" s="2" t="s">
        <v>1</v>
      </c>
      <c r="E122" s="1" t="s">
        <v>397</v>
      </c>
    </row>
    <row r="123" spans="4:5" x14ac:dyDescent="0.25">
      <c r="D123" s="2" t="s">
        <v>5</v>
      </c>
      <c r="E123" s="1" t="s">
        <v>327</v>
      </c>
    </row>
    <row r="124" spans="4:5" x14ac:dyDescent="0.25">
      <c r="D124" s="2" t="s">
        <v>5</v>
      </c>
      <c r="E124" s="1" t="s">
        <v>326</v>
      </c>
    </row>
    <row r="125" spans="4:5" x14ac:dyDescent="0.25">
      <c r="D125" s="2" t="s">
        <v>1</v>
      </c>
      <c r="E125" s="1" t="s">
        <v>396</v>
      </c>
    </row>
    <row r="126" spans="4:5" x14ac:dyDescent="0.25">
      <c r="D126" s="2" t="s">
        <v>1</v>
      </c>
      <c r="E126" s="1" t="s">
        <v>395</v>
      </c>
    </row>
    <row r="127" spans="4:5" x14ac:dyDescent="0.25">
      <c r="D127" s="2" t="s">
        <v>1</v>
      </c>
      <c r="E127" s="1" t="s">
        <v>394</v>
      </c>
    </row>
    <row r="128" spans="4:5" x14ac:dyDescent="0.25">
      <c r="D128" s="2" t="s">
        <v>1</v>
      </c>
      <c r="E128" s="1" t="s">
        <v>393</v>
      </c>
    </row>
    <row r="129" spans="4:5" x14ac:dyDescent="0.25">
      <c r="D129" s="2" t="s">
        <v>5</v>
      </c>
      <c r="E129" s="1" t="s">
        <v>325</v>
      </c>
    </row>
    <row r="130" spans="4:5" x14ac:dyDescent="0.25">
      <c r="D130" s="2" t="s">
        <v>5</v>
      </c>
      <c r="E130" s="1" t="s">
        <v>324</v>
      </c>
    </row>
    <row r="131" spans="4:5" x14ac:dyDescent="0.25">
      <c r="D131" s="2" t="s">
        <v>1</v>
      </c>
      <c r="E131" s="1" t="s">
        <v>392</v>
      </c>
    </row>
    <row r="132" spans="4:5" x14ac:dyDescent="0.25">
      <c r="D132" s="2" t="s">
        <v>1</v>
      </c>
      <c r="E132" s="1" t="s">
        <v>391</v>
      </c>
    </row>
    <row r="133" spans="4:5" x14ac:dyDescent="0.25">
      <c r="D133" s="2" t="s">
        <v>1</v>
      </c>
      <c r="E133" s="1" t="s">
        <v>390</v>
      </c>
    </row>
    <row r="134" spans="4:5" x14ac:dyDescent="0.25">
      <c r="D134" s="2" t="s">
        <v>1</v>
      </c>
      <c r="E134" s="1" t="s">
        <v>389</v>
      </c>
    </row>
    <row r="135" spans="4:5" x14ac:dyDescent="0.25">
      <c r="D135" s="2" t="s">
        <v>5</v>
      </c>
      <c r="E135" s="1" t="s">
        <v>323</v>
      </c>
    </row>
    <row r="136" spans="4:5" x14ac:dyDescent="0.25">
      <c r="D136" s="2" t="s">
        <v>5</v>
      </c>
      <c r="E136" s="1" t="s">
        <v>322</v>
      </c>
    </row>
    <row r="137" spans="4:5" x14ac:dyDescent="0.25">
      <c r="D137" s="2" t="s">
        <v>1</v>
      </c>
      <c r="E137" s="1" t="s">
        <v>388</v>
      </c>
    </row>
    <row r="138" spans="4:5" x14ac:dyDescent="0.25">
      <c r="D138" s="2" t="s">
        <v>1</v>
      </c>
      <c r="E138" s="1" t="s">
        <v>387</v>
      </c>
    </row>
    <row r="139" spans="4:5" x14ac:dyDescent="0.25">
      <c r="D139" s="2" t="s">
        <v>1</v>
      </c>
      <c r="E139" s="1" t="s">
        <v>386</v>
      </c>
    </row>
    <row r="140" spans="4:5" x14ac:dyDescent="0.25">
      <c r="D140" s="2" t="s">
        <v>1</v>
      </c>
      <c r="E140" s="1" t="s">
        <v>385</v>
      </c>
    </row>
    <row r="141" spans="4:5" x14ac:dyDescent="0.25">
      <c r="D141" s="2" t="s">
        <v>1</v>
      </c>
      <c r="E141" s="1" t="s">
        <v>384</v>
      </c>
    </row>
    <row r="142" spans="4:5" x14ac:dyDescent="0.25">
      <c r="D142" s="2" t="s">
        <v>5</v>
      </c>
      <c r="E142" s="1" t="s">
        <v>321</v>
      </c>
    </row>
    <row r="143" spans="4:5" x14ac:dyDescent="0.25">
      <c r="D143" s="2" t="s">
        <v>5</v>
      </c>
      <c r="E143" s="1" t="s">
        <v>320</v>
      </c>
    </row>
    <row r="144" spans="4:5" x14ac:dyDescent="0.25">
      <c r="D144" s="2" t="s">
        <v>1</v>
      </c>
      <c r="E144" s="1" t="s">
        <v>383</v>
      </c>
    </row>
    <row r="145" spans="4:5" x14ac:dyDescent="0.25">
      <c r="D145" s="2" t="s">
        <v>1</v>
      </c>
      <c r="E145" s="1" t="s">
        <v>382</v>
      </c>
    </row>
    <row r="146" spans="4:5" x14ac:dyDescent="0.25">
      <c r="D146" s="2" t="s">
        <v>1</v>
      </c>
      <c r="E146" s="1" t="s">
        <v>381</v>
      </c>
    </row>
    <row r="147" spans="4:5" x14ac:dyDescent="0.25">
      <c r="D147" s="2" t="s">
        <v>1</v>
      </c>
      <c r="E147" s="1" t="s">
        <v>380</v>
      </c>
    </row>
    <row r="148" spans="4:5" x14ac:dyDescent="0.25">
      <c r="D148" s="2" t="s">
        <v>1</v>
      </c>
      <c r="E148" s="1" t="s">
        <v>379</v>
      </c>
    </row>
    <row r="149" spans="4:5" x14ac:dyDescent="0.25">
      <c r="D149" s="2" t="s">
        <v>5</v>
      </c>
      <c r="E149" s="1" t="s">
        <v>319</v>
      </c>
    </row>
    <row r="150" spans="4:5" x14ac:dyDescent="0.25">
      <c r="D150" s="2" t="s">
        <v>5</v>
      </c>
      <c r="E150" s="1" t="s">
        <v>318</v>
      </c>
    </row>
    <row r="151" spans="4:5" x14ac:dyDescent="0.25">
      <c r="D151" s="2" t="s">
        <v>1</v>
      </c>
      <c r="E151" s="1" t="s">
        <v>378</v>
      </c>
    </row>
    <row r="152" spans="4:5" x14ac:dyDescent="0.25">
      <c r="D152" s="2" t="s">
        <v>1</v>
      </c>
      <c r="E152" s="1" t="s">
        <v>377</v>
      </c>
    </row>
    <row r="153" spans="4:5" x14ac:dyDescent="0.25">
      <c r="D153" s="2" t="s">
        <v>1</v>
      </c>
      <c r="E153" s="1" t="s">
        <v>376</v>
      </c>
    </row>
    <row r="154" spans="4:5" x14ac:dyDescent="0.25">
      <c r="D154" s="2" t="s">
        <v>1</v>
      </c>
      <c r="E154" s="1" t="s">
        <v>375</v>
      </c>
    </row>
    <row r="155" spans="4:5" x14ac:dyDescent="0.25">
      <c r="D155" s="2" t="s">
        <v>1</v>
      </c>
      <c r="E155" s="1" t="s">
        <v>374</v>
      </c>
    </row>
    <row r="156" spans="4:5" x14ac:dyDescent="0.25">
      <c r="D156" s="2" t="s">
        <v>5</v>
      </c>
      <c r="E156" s="1" t="s">
        <v>317</v>
      </c>
    </row>
    <row r="157" spans="4:5" x14ac:dyDescent="0.25">
      <c r="D157" s="2" t="s">
        <v>5</v>
      </c>
      <c r="E157" s="1" t="s">
        <v>316</v>
      </c>
    </row>
    <row r="158" spans="4:5" x14ac:dyDescent="0.25">
      <c r="D158" s="2" t="s">
        <v>1</v>
      </c>
      <c r="E158" s="1" t="s">
        <v>373</v>
      </c>
    </row>
    <row r="159" spans="4:5" x14ac:dyDescent="0.25">
      <c r="D159" s="2" t="s">
        <v>1</v>
      </c>
      <c r="E159" s="1" t="s">
        <v>372</v>
      </c>
    </row>
    <row r="160" spans="4:5" x14ac:dyDescent="0.25">
      <c r="D160" s="2" t="s">
        <v>1</v>
      </c>
      <c r="E160" s="1" t="s">
        <v>371</v>
      </c>
    </row>
    <row r="161" spans="4:5" x14ac:dyDescent="0.25">
      <c r="D161" s="2" t="s">
        <v>1</v>
      </c>
      <c r="E161" s="1" t="s">
        <v>370</v>
      </c>
    </row>
    <row r="162" spans="4:5" x14ac:dyDescent="0.25">
      <c r="D162" s="2" t="s">
        <v>1</v>
      </c>
      <c r="E162" s="1" t="s">
        <v>369</v>
      </c>
    </row>
    <row r="163" spans="4:5" x14ac:dyDescent="0.25">
      <c r="D163" s="2" t="s">
        <v>5</v>
      </c>
      <c r="E163" s="1" t="s">
        <v>315</v>
      </c>
    </row>
    <row r="164" spans="4:5" x14ac:dyDescent="0.25">
      <c r="D164" s="2" t="s">
        <v>5</v>
      </c>
      <c r="E164" s="1" t="s">
        <v>314</v>
      </c>
    </row>
    <row r="165" spans="4:5" x14ac:dyDescent="0.25">
      <c r="D165" s="2" t="s">
        <v>1</v>
      </c>
      <c r="E165" s="1" t="s">
        <v>368</v>
      </c>
    </row>
    <row r="166" spans="4:5" x14ac:dyDescent="0.25">
      <c r="D166" s="2" t="s">
        <v>1</v>
      </c>
      <c r="E166" s="1" t="s">
        <v>367</v>
      </c>
    </row>
    <row r="167" spans="4:5" x14ac:dyDescent="0.25">
      <c r="D167" s="2" t="s">
        <v>1</v>
      </c>
      <c r="E167" s="1" t="s">
        <v>366</v>
      </c>
    </row>
    <row r="168" spans="4:5" x14ac:dyDescent="0.25">
      <c r="D168" s="2" t="s">
        <v>1</v>
      </c>
      <c r="E168" s="1" t="s">
        <v>365</v>
      </c>
    </row>
    <row r="169" spans="4:5" x14ac:dyDescent="0.25">
      <c r="D169" s="2" t="s">
        <v>5</v>
      </c>
      <c r="E169" s="1" t="s">
        <v>313</v>
      </c>
    </row>
    <row r="170" spans="4:5" x14ac:dyDescent="0.25">
      <c r="D170" s="2" t="s">
        <v>5</v>
      </c>
      <c r="E170" s="1" t="s">
        <v>312</v>
      </c>
    </row>
    <row r="171" spans="4:5" x14ac:dyDescent="0.25">
      <c r="D171" s="2" t="s">
        <v>1</v>
      </c>
      <c r="E171" s="1" t="s">
        <v>364</v>
      </c>
    </row>
    <row r="172" spans="4:5" x14ac:dyDescent="0.25">
      <c r="D172" s="2" t="s">
        <v>1</v>
      </c>
      <c r="E172" s="1" t="s">
        <v>363</v>
      </c>
    </row>
    <row r="173" spans="4:5" x14ac:dyDescent="0.25">
      <c r="D173" s="2" t="s">
        <v>1</v>
      </c>
      <c r="E173" s="1" t="s">
        <v>362</v>
      </c>
    </row>
    <row r="174" spans="4:5" x14ac:dyDescent="0.25">
      <c r="D174" s="2" t="s">
        <v>1</v>
      </c>
      <c r="E174" s="1" t="s">
        <v>361</v>
      </c>
    </row>
    <row r="175" spans="4:5" x14ac:dyDescent="0.25">
      <c r="D175" s="2" t="s">
        <v>5</v>
      </c>
      <c r="E175" s="1" t="s">
        <v>311</v>
      </c>
    </row>
    <row r="176" spans="4:5" x14ac:dyDescent="0.25">
      <c r="D176" s="2" t="s">
        <v>5</v>
      </c>
      <c r="E176" s="1" t="s">
        <v>310</v>
      </c>
    </row>
    <row r="177" spans="4:6" x14ac:dyDescent="0.25">
      <c r="D177" s="2" t="s">
        <v>1</v>
      </c>
      <c r="E177" s="1" t="s">
        <v>360</v>
      </c>
    </row>
    <row r="178" spans="4:6" x14ac:dyDescent="0.25">
      <c r="D178" s="2" t="s">
        <v>1</v>
      </c>
      <c r="E178" s="1" t="s">
        <v>359</v>
      </c>
    </row>
    <row r="179" spans="4:6" x14ac:dyDescent="0.25">
      <c r="D179" s="2" t="s">
        <v>1</v>
      </c>
      <c r="E179" s="1" t="s">
        <v>358</v>
      </c>
    </row>
    <row r="180" spans="4:6" x14ac:dyDescent="0.25">
      <c r="D180" s="2" t="s">
        <v>1</v>
      </c>
      <c r="E180" s="1" t="s">
        <v>357</v>
      </c>
    </row>
    <row r="181" spans="4:6" x14ac:dyDescent="0.25">
      <c r="D181" s="2" t="s">
        <v>5</v>
      </c>
      <c r="E181" s="1" t="s">
        <v>309</v>
      </c>
    </row>
    <row r="182" spans="4:6" x14ac:dyDescent="0.25">
      <c r="D182" s="2" t="s">
        <v>5</v>
      </c>
      <c r="E182" s="1" t="s">
        <v>308</v>
      </c>
    </row>
    <row r="183" spans="4:6" x14ac:dyDescent="0.25">
      <c r="D183" s="2" t="s">
        <v>356</v>
      </c>
      <c r="E183" s="1" t="s">
        <v>779</v>
      </c>
    </row>
    <row r="184" spans="4:6" x14ac:dyDescent="0.25">
      <c r="D184" s="2" t="s">
        <v>356</v>
      </c>
      <c r="E184" s="1" t="s">
        <v>780</v>
      </c>
    </row>
    <row r="185" spans="4:6" x14ac:dyDescent="0.25">
      <c r="D185" s="2" t="s">
        <v>356</v>
      </c>
      <c r="E185" s="1" t="s">
        <v>781</v>
      </c>
    </row>
    <row r="186" spans="4:6" x14ac:dyDescent="0.25">
      <c r="D186" s="2" t="s">
        <v>356</v>
      </c>
      <c r="E186" s="1" t="s">
        <v>782</v>
      </c>
    </row>
    <row r="187" spans="4:6" x14ac:dyDescent="0.25">
      <c r="D187" s="2" t="s">
        <v>5</v>
      </c>
      <c r="E187" s="1" t="s">
        <v>355</v>
      </c>
    </row>
    <row r="188" spans="4:6" x14ac:dyDescent="0.25">
      <c r="D188" s="2" t="s">
        <v>5</v>
      </c>
      <c r="E188" s="1" t="s">
        <v>354</v>
      </c>
    </row>
    <row r="189" spans="4:6" x14ac:dyDescent="0.25">
      <c r="D189" s="2" t="s">
        <v>5</v>
      </c>
      <c r="E189" s="1" t="s">
        <v>353</v>
      </c>
    </row>
    <row r="190" spans="4:6" x14ac:dyDescent="0.25">
      <c r="D190" s="2" t="s">
        <v>5</v>
      </c>
      <c r="E190" s="1" t="s">
        <v>352</v>
      </c>
    </row>
    <row r="191" spans="4:6" x14ac:dyDescent="0.25">
      <c r="D191" s="2" t="s">
        <v>5</v>
      </c>
      <c r="E191" s="1" t="s">
        <v>735</v>
      </c>
    </row>
    <row r="192" spans="4:6" x14ac:dyDescent="0.25">
      <c r="D192" s="2" t="s">
        <v>5</v>
      </c>
      <c r="E192" s="1" t="s">
        <v>736</v>
      </c>
      <c r="F192" s="16"/>
    </row>
    <row r="193" spans="4:6" x14ac:dyDescent="0.25">
      <c r="D193" s="2" t="s">
        <v>5</v>
      </c>
      <c r="E193" s="1" t="s">
        <v>737</v>
      </c>
      <c r="F193" s="16"/>
    </row>
    <row r="194" spans="4:6" x14ac:dyDescent="0.25">
      <c r="D194" s="2" t="s">
        <v>5</v>
      </c>
      <c r="E194" s="1" t="s">
        <v>738</v>
      </c>
      <c r="F194" s="16"/>
    </row>
    <row r="195" spans="4:6" x14ac:dyDescent="0.25">
      <c r="D195" s="2" t="s">
        <v>5</v>
      </c>
      <c r="E195" s="1" t="s">
        <v>739</v>
      </c>
      <c r="F195" s="16"/>
    </row>
    <row r="196" spans="4:6" x14ac:dyDescent="0.25">
      <c r="D196" s="2" t="s">
        <v>5</v>
      </c>
      <c r="E196" s="1" t="s">
        <v>740</v>
      </c>
      <c r="F196" s="16"/>
    </row>
    <row r="197" spans="4:6" x14ac:dyDescent="0.25">
      <c r="D197" s="2" t="s">
        <v>5</v>
      </c>
      <c r="E197" s="1" t="s">
        <v>741</v>
      </c>
      <c r="F197" s="16"/>
    </row>
    <row r="198" spans="4:6" x14ac:dyDescent="0.25">
      <c r="D198" s="2" t="s">
        <v>5</v>
      </c>
      <c r="E198" s="1" t="s">
        <v>742</v>
      </c>
      <c r="F198" s="16"/>
    </row>
    <row r="199" spans="4:6" x14ac:dyDescent="0.25">
      <c r="D199" s="2" t="s">
        <v>5</v>
      </c>
      <c r="E199" s="1" t="s">
        <v>743</v>
      </c>
      <c r="F199" s="16"/>
    </row>
    <row r="200" spans="4:6" x14ac:dyDescent="0.25">
      <c r="D200" s="2" t="s">
        <v>5</v>
      </c>
      <c r="E200" s="1" t="s">
        <v>744</v>
      </c>
      <c r="F200" s="16"/>
    </row>
    <row r="201" spans="4:6" x14ac:dyDescent="0.25">
      <c r="D201" s="2" t="s">
        <v>5</v>
      </c>
      <c r="E201" s="1" t="s">
        <v>745</v>
      </c>
      <c r="F201" s="16"/>
    </row>
    <row r="202" spans="4:6" x14ac:dyDescent="0.25">
      <c r="D202" s="2" t="s">
        <v>5</v>
      </c>
      <c r="E202" s="1" t="s">
        <v>746</v>
      </c>
      <c r="F202" s="16"/>
    </row>
    <row r="203" spans="4:6" x14ac:dyDescent="0.25">
      <c r="D203" s="2" t="s">
        <v>5</v>
      </c>
      <c r="E203" s="1" t="s">
        <v>747</v>
      </c>
      <c r="F203" s="16"/>
    </row>
    <row r="204" spans="4:6" x14ac:dyDescent="0.25">
      <c r="D204" s="2" t="s">
        <v>5</v>
      </c>
      <c r="E204" s="1" t="s">
        <v>748</v>
      </c>
      <c r="F204" s="16"/>
    </row>
    <row r="205" spans="4:6" x14ac:dyDescent="0.25">
      <c r="D205" s="2" t="s">
        <v>5</v>
      </c>
      <c r="E205" s="1" t="s">
        <v>749</v>
      </c>
      <c r="F205" s="16"/>
    </row>
    <row r="206" spans="4:6" x14ac:dyDescent="0.25">
      <c r="D206" s="2" t="s">
        <v>5</v>
      </c>
      <c r="E206" s="1" t="s">
        <v>750</v>
      </c>
      <c r="F206" s="16"/>
    </row>
    <row r="207" spans="4:6" x14ac:dyDescent="0.25">
      <c r="D207" s="2" t="s">
        <v>5</v>
      </c>
      <c r="E207" s="1" t="s">
        <v>751</v>
      </c>
      <c r="F207" s="16"/>
    </row>
    <row r="208" spans="4:6" x14ac:dyDescent="0.25">
      <c r="D208" s="2" t="s">
        <v>5</v>
      </c>
      <c r="E208" s="1" t="s">
        <v>752</v>
      </c>
      <c r="F208" s="16"/>
    </row>
    <row r="209" spans="4:6" x14ac:dyDescent="0.25">
      <c r="D209" s="2" t="s">
        <v>5</v>
      </c>
      <c r="E209" s="1" t="s">
        <v>753</v>
      </c>
      <c r="F209" s="16"/>
    </row>
    <row r="210" spans="4:6" x14ac:dyDescent="0.25">
      <c r="D210" s="2" t="s">
        <v>5</v>
      </c>
      <c r="E210" s="1" t="s">
        <v>754</v>
      </c>
      <c r="F210" s="16"/>
    </row>
    <row r="211" spans="4:6" x14ac:dyDescent="0.25">
      <c r="D211" s="2" t="s">
        <v>5</v>
      </c>
      <c r="E211" s="1" t="s">
        <v>755</v>
      </c>
      <c r="F211" s="16"/>
    </row>
    <row r="212" spans="4:6" x14ac:dyDescent="0.25">
      <c r="D212" s="2" t="s">
        <v>5</v>
      </c>
      <c r="E212" s="1" t="s">
        <v>756</v>
      </c>
      <c r="F212" s="16"/>
    </row>
    <row r="213" spans="4:6" x14ac:dyDescent="0.25">
      <c r="D213" s="2" t="s">
        <v>5</v>
      </c>
      <c r="E213" s="1" t="s">
        <v>757</v>
      </c>
      <c r="F213" s="16"/>
    </row>
    <row r="214" spans="4:6" x14ac:dyDescent="0.25">
      <c r="D214" s="2" t="s">
        <v>5</v>
      </c>
      <c r="E214" s="1" t="s">
        <v>758</v>
      </c>
      <c r="F214" s="16"/>
    </row>
    <row r="215" spans="4:6" x14ac:dyDescent="0.25">
      <c r="D215" s="2" t="s">
        <v>5</v>
      </c>
      <c r="E215" s="1" t="s">
        <v>759</v>
      </c>
      <c r="F215" s="16"/>
    </row>
    <row r="216" spans="4:6" x14ac:dyDescent="0.25">
      <c r="D216" s="2" t="s">
        <v>5</v>
      </c>
      <c r="E216" s="1" t="s">
        <v>760</v>
      </c>
      <c r="F216" s="16"/>
    </row>
    <row r="217" spans="4:6" x14ac:dyDescent="0.25">
      <c r="D217" s="2" t="s">
        <v>5</v>
      </c>
      <c r="E217" s="1" t="s">
        <v>761</v>
      </c>
      <c r="F217" s="16"/>
    </row>
    <row r="218" spans="4:6" x14ac:dyDescent="0.25">
      <c r="D218" s="2" t="s">
        <v>5</v>
      </c>
      <c r="E218" s="1" t="s">
        <v>762</v>
      </c>
      <c r="F218" s="16"/>
    </row>
    <row r="219" spans="4:6" x14ac:dyDescent="0.25">
      <c r="D219" s="2" t="s">
        <v>5</v>
      </c>
      <c r="E219" s="1" t="s">
        <v>763</v>
      </c>
      <c r="F219" s="16"/>
    </row>
    <row r="220" spans="4:6" x14ac:dyDescent="0.25">
      <c r="D220" s="2" t="s">
        <v>5</v>
      </c>
      <c r="E220" s="1" t="s">
        <v>764</v>
      </c>
      <c r="F220" s="16"/>
    </row>
    <row r="221" spans="4:6" x14ac:dyDescent="0.25">
      <c r="D221" s="2" t="s">
        <v>5</v>
      </c>
      <c r="E221" s="1" t="s">
        <v>765</v>
      </c>
      <c r="F221" s="16"/>
    </row>
    <row r="222" spans="4:6" x14ac:dyDescent="0.25">
      <c r="D222" s="2" t="s">
        <v>5</v>
      </c>
      <c r="E222" s="1" t="s">
        <v>766</v>
      </c>
      <c r="F222" s="16"/>
    </row>
    <row r="223" spans="4:6" x14ac:dyDescent="0.25">
      <c r="D223" s="2" t="s">
        <v>5</v>
      </c>
      <c r="E223" s="1" t="s">
        <v>767</v>
      </c>
      <c r="F223" s="16"/>
    </row>
    <row r="224" spans="4:6" x14ac:dyDescent="0.25">
      <c r="D224" s="2" t="s">
        <v>5</v>
      </c>
      <c r="E224" s="1" t="s">
        <v>768</v>
      </c>
      <c r="F224" s="16"/>
    </row>
    <row r="225" spans="4:6" x14ac:dyDescent="0.25">
      <c r="D225" s="2" t="s">
        <v>5</v>
      </c>
      <c r="E225" s="1" t="s">
        <v>769</v>
      </c>
      <c r="F225" s="16"/>
    </row>
    <row r="226" spans="4:6" x14ac:dyDescent="0.25">
      <c r="D226" s="2" t="s">
        <v>5</v>
      </c>
      <c r="E226" s="1" t="s">
        <v>770</v>
      </c>
      <c r="F226" s="16"/>
    </row>
    <row r="227" spans="4:6" x14ac:dyDescent="0.25">
      <c r="D227" s="2" t="s">
        <v>5</v>
      </c>
      <c r="E227" s="1" t="s">
        <v>771</v>
      </c>
      <c r="F227" s="16"/>
    </row>
    <row r="228" spans="4:6" x14ac:dyDescent="0.25">
      <c r="D228" s="2" t="s">
        <v>5</v>
      </c>
      <c r="E228" s="1" t="s">
        <v>772</v>
      </c>
      <c r="F228" s="16"/>
    </row>
    <row r="229" spans="4:6" x14ac:dyDescent="0.25">
      <c r="D229" s="2" t="s">
        <v>5</v>
      </c>
      <c r="E229" s="1" t="s">
        <v>773</v>
      </c>
      <c r="F229" s="16"/>
    </row>
    <row r="230" spans="4:6" x14ac:dyDescent="0.25">
      <c r="D230" s="2" t="s">
        <v>5</v>
      </c>
      <c r="E230" s="1" t="s">
        <v>774</v>
      </c>
      <c r="F230" s="16"/>
    </row>
    <row r="231" spans="4:6" x14ac:dyDescent="0.25">
      <c r="D231" s="2" t="s">
        <v>5</v>
      </c>
      <c r="E231" s="1" t="s">
        <v>775</v>
      </c>
      <c r="F231" s="16"/>
    </row>
    <row r="232" spans="4:6" x14ac:dyDescent="0.25">
      <c r="D232" s="2" t="s">
        <v>5</v>
      </c>
      <c r="E232" s="1" t="s">
        <v>776</v>
      </c>
      <c r="F232" s="16"/>
    </row>
    <row r="233" spans="4:6" x14ac:dyDescent="0.25">
      <c r="D233" s="2" t="s">
        <v>5</v>
      </c>
      <c r="E233" s="1" t="s">
        <v>777</v>
      </c>
      <c r="F233" s="16"/>
    </row>
    <row r="234" spans="4:6" x14ac:dyDescent="0.25">
      <c r="D234" s="2" t="s">
        <v>5</v>
      </c>
      <c r="E234" s="1" t="s">
        <v>778</v>
      </c>
      <c r="F234" s="16"/>
    </row>
  </sheetData>
  <dataValidations count="2">
    <dataValidation type="list" allowBlank="1" showInputMessage="1" showErrorMessage="1" sqref="AN3:AN76 AL3:AL76 AH3:AH76 AF3:AF76 H3:H76 AV3:AV76 AT3:AT76 X3:X76 V3:V76 T3:T76 R3:R76 P3:P76 N3:N76 L3:L76 J3:J76 Z3:Z76 AB3:AB76 AJ3:AJ76 AP3:AP76 AR3:AR76 AD3:AD76 AX3:AX76 AZ3:AZ76 BB3:BB76 H80:H99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2"/>
  <sheetViews>
    <sheetView topLeftCell="A33" workbookViewId="0">
      <selection activeCell="D3" sqref="D3:E72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12.5703125" bestFit="1" customWidth="1"/>
    <col min="8" max="8" width="26.28515625" bestFit="1" customWidth="1"/>
    <col min="9" max="9" width="12" bestFit="1" customWidth="1"/>
    <col min="10" max="10" width="21.5703125" bestFit="1" customWidth="1"/>
    <col min="11" max="11" width="17.7109375" bestFit="1" customWidth="1"/>
    <col min="12" max="12" width="26.28515625" bestFit="1" customWidth="1"/>
    <col min="13" max="13" width="9" bestFit="1" customWidth="1"/>
  </cols>
  <sheetData>
    <row r="1" spans="1:13" s="13" customFormat="1" x14ac:dyDescent="0.25">
      <c r="A1" s="14" t="s">
        <v>727</v>
      </c>
      <c r="B1" s="9" t="s">
        <v>729</v>
      </c>
      <c r="C1" s="3"/>
      <c r="D1" s="6"/>
      <c r="E1" s="6"/>
    </row>
    <row r="2" spans="1:13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270</v>
      </c>
      <c r="M2" s="6" t="s">
        <v>268</v>
      </c>
    </row>
    <row r="3" spans="1:13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P11</v>
      </c>
      <c r="D3" s="2" t="s">
        <v>279</v>
      </c>
      <c r="G3" s="6" t="s">
        <v>28</v>
      </c>
      <c r="H3" t="s">
        <v>0</v>
      </c>
      <c r="I3" t="str">
        <f t="shared" ref="I3:I16" si="0">I$2&amp;"-"&amp;$G3</f>
        <v>M-THV</v>
      </c>
      <c r="J3" t="str">
        <f t="shared" ref="J3:J18" si="1">H3</f>
        <v>Static Hydraulic Core</v>
      </c>
      <c r="K3" t="str">
        <f t="shared" ref="K3:K18" si="2">K$2&amp;"-"&amp;$G3</f>
        <v>D-THV</v>
      </c>
      <c r="L3" s="6"/>
      <c r="M3" s="6"/>
    </row>
    <row r="4" spans="1:13" x14ac:dyDescent="0.25">
      <c r="D4" s="2" t="s">
        <v>64</v>
      </c>
      <c r="G4" s="6" t="s">
        <v>27</v>
      </c>
      <c r="H4" t="s">
        <v>0</v>
      </c>
      <c r="I4" t="str">
        <f t="shared" si="0"/>
        <v>M-PHV</v>
      </c>
      <c r="J4" t="str">
        <f t="shared" si="1"/>
        <v>Static Hydraulic Core</v>
      </c>
      <c r="K4" t="str">
        <f t="shared" si="2"/>
        <v>D-PHV</v>
      </c>
      <c r="L4" s="6"/>
      <c r="M4" s="6"/>
    </row>
    <row r="5" spans="1:13" x14ac:dyDescent="0.25">
      <c r="D5" s="2" t="s">
        <v>1</v>
      </c>
      <c r="E5" s="1" t="s">
        <v>211</v>
      </c>
      <c r="G5" t="s">
        <v>589</v>
      </c>
      <c r="H5" t="s">
        <v>3</v>
      </c>
      <c r="I5" t="str">
        <f t="shared" si="0"/>
        <v>M-SCALE</v>
      </c>
      <c r="J5" t="str">
        <f t="shared" si="1"/>
        <v>Static Chemical Core</v>
      </c>
      <c r="K5" t="str">
        <f t="shared" si="2"/>
        <v>D-SCALE</v>
      </c>
      <c r="L5" t="str">
        <f t="shared" ref="L5:L18" si="3">H5</f>
        <v>Static Chemical Core</v>
      </c>
    </row>
    <row r="6" spans="1:13" x14ac:dyDescent="0.25">
      <c r="D6" s="2" t="s">
        <v>1</v>
      </c>
      <c r="E6" s="1" t="s">
        <v>210</v>
      </c>
      <c r="G6" t="s">
        <v>29</v>
      </c>
      <c r="H6" t="s">
        <v>3</v>
      </c>
      <c r="I6" t="str">
        <f t="shared" si="0"/>
        <v>M-WAX</v>
      </c>
      <c r="J6" t="str">
        <f t="shared" si="1"/>
        <v>Static Chemical Core</v>
      </c>
      <c r="K6" t="str">
        <f t="shared" si="2"/>
        <v>D-WAX</v>
      </c>
      <c r="L6" t="str">
        <f t="shared" si="3"/>
        <v>Static Chemical Core</v>
      </c>
    </row>
    <row r="7" spans="1:13" x14ac:dyDescent="0.25">
      <c r="D7" s="2" t="s">
        <v>1</v>
      </c>
      <c r="E7" s="1" t="s">
        <v>209</v>
      </c>
      <c r="G7" t="s">
        <v>588</v>
      </c>
      <c r="H7" t="s">
        <v>3</v>
      </c>
      <c r="I7" t="str">
        <f t="shared" si="0"/>
        <v>M-HF</v>
      </c>
      <c r="J7" t="str">
        <f t="shared" si="1"/>
        <v>Static Chemical Core</v>
      </c>
      <c r="K7" t="str">
        <f t="shared" si="2"/>
        <v>D-HF</v>
      </c>
      <c r="L7" t="str">
        <f t="shared" si="3"/>
        <v>Static Chemical Core</v>
      </c>
    </row>
    <row r="8" spans="1:13" x14ac:dyDescent="0.25">
      <c r="D8" s="2" t="s">
        <v>1</v>
      </c>
      <c r="E8" s="1" t="s">
        <v>208</v>
      </c>
      <c r="G8" t="s">
        <v>587</v>
      </c>
      <c r="H8" t="s">
        <v>3</v>
      </c>
      <c r="I8" t="str">
        <f t="shared" si="0"/>
        <v>M-LF</v>
      </c>
      <c r="J8" t="str">
        <f t="shared" si="1"/>
        <v>Static Chemical Core</v>
      </c>
      <c r="K8" t="str">
        <f t="shared" si="2"/>
        <v>D-LF</v>
      </c>
      <c r="L8" t="str">
        <f t="shared" si="3"/>
        <v>Static Chemical Core</v>
      </c>
    </row>
    <row r="9" spans="1:13" x14ac:dyDescent="0.25">
      <c r="D9" s="2" t="s">
        <v>5</v>
      </c>
      <c r="E9" s="1" t="s">
        <v>207</v>
      </c>
      <c r="G9" t="s">
        <v>26</v>
      </c>
      <c r="H9" t="s">
        <v>2</v>
      </c>
      <c r="I9" t="str">
        <f t="shared" si="0"/>
        <v>M-D1</v>
      </c>
      <c r="J9" t="str">
        <f t="shared" si="1"/>
        <v>Chemical Injection Coupling</v>
      </c>
      <c r="K9" t="str">
        <f t="shared" si="2"/>
        <v>D-D1</v>
      </c>
      <c r="L9" t="str">
        <f t="shared" si="3"/>
        <v>Chemical Injection Coupling</v>
      </c>
    </row>
    <row r="10" spans="1:13" x14ac:dyDescent="0.25">
      <c r="D10" s="2" t="s">
        <v>5</v>
      </c>
      <c r="E10" s="1" t="s">
        <v>206</v>
      </c>
      <c r="G10" t="s">
        <v>25</v>
      </c>
      <c r="H10" t="s">
        <v>1</v>
      </c>
      <c r="I10" t="str">
        <f t="shared" si="0"/>
        <v>M-D2</v>
      </c>
      <c r="J10" t="str">
        <f t="shared" si="1"/>
        <v>Hydraulic Coupling</v>
      </c>
      <c r="K10" t="str">
        <f t="shared" si="2"/>
        <v>D-D2</v>
      </c>
      <c r="L10" t="str">
        <f t="shared" si="3"/>
        <v>Hydraulic Coupling</v>
      </c>
    </row>
    <row r="11" spans="1:13" x14ac:dyDescent="0.25">
      <c r="D11" s="2" t="s">
        <v>2</v>
      </c>
      <c r="E11" s="1" t="s">
        <v>585</v>
      </c>
      <c r="G11" t="s">
        <v>23</v>
      </c>
      <c r="H11" t="s">
        <v>2</v>
      </c>
      <c r="I11" t="str">
        <f t="shared" si="0"/>
        <v>M-D3</v>
      </c>
      <c r="J11" t="str">
        <f t="shared" si="1"/>
        <v>Chemical Injection Coupling</v>
      </c>
      <c r="K11" t="str">
        <f t="shared" si="2"/>
        <v>D-D3</v>
      </c>
      <c r="L11" t="str">
        <f t="shared" si="3"/>
        <v>Chemical Injection Coupling</v>
      </c>
    </row>
    <row r="12" spans="1:13" x14ac:dyDescent="0.25">
      <c r="D12" s="2" t="s">
        <v>1</v>
      </c>
      <c r="E12" s="1" t="s">
        <v>584</v>
      </c>
      <c r="G12" t="s">
        <v>21</v>
      </c>
      <c r="H12" t="s">
        <v>2</v>
      </c>
      <c r="I12" t="str">
        <f t="shared" si="0"/>
        <v>M-D4</v>
      </c>
      <c r="J12" t="str">
        <f t="shared" si="1"/>
        <v>Chemical Injection Coupling</v>
      </c>
      <c r="K12" t="str">
        <f t="shared" si="2"/>
        <v>D-D4</v>
      </c>
      <c r="L12" t="str">
        <f t="shared" si="3"/>
        <v>Chemical Injection Coupling</v>
      </c>
    </row>
    <row r="13" spans="1:13" x14ac:dyDescent="0.25">
      <c r="D13" s="2" t="s">
        <v>2</v>
      </c>
      <c r="E13" s="1" t="s">
        <v>583</v>
      </c>
      <c r="G13" t="s">
        <v>18</v>
      </c>
      <c r="H13" t="s">
        <v>1</v>
      </c>
      <c r="I13" t="str">
        <f t="shared" si="0"/>
        <v>M-D5</v>
      </c>
      <c r="J13" t="str">
        <f t="shared" si="1"/>
        <v>Hydraulic Coupling</v>
      </c>
      <c r="K13" t="str">
        <f t="shared" si="2"/>
        <v>D-D5</v>
      </c>
      <c r="L13" t="str">
        <f t="shared" si="3"/>
        <v>Hydraulic Coupling</v>
      </c>
    </row>
    <row r="14" spans="1:13" x14ac:dyDescent="0.25">
      <c r="D14" s="2" t="s">
        <v>2</v>
      </c>
      <c r="E14" s="1" t="s">
        <v>582</v>
      </c>
      <c r="G14" t="s">
        <v>8</v>
      </c>
      <c r="H14" t="s">
        <v>2</v>
      </c>
      <c r="I14" t="str">
        <f t="shared" si="0"/>
        <v>M-D6</v>
      </c>
      <c r="J14" t="str">
        <f t="shared" si="1"/>
        <v>Chemical Injection Coupling</v>
      </c>
      <c r="K14" t="str">
        <f t="shared" si="2"/>
        <v>D-D6</v>
      </c>
      <c r="L14" t="str">
        <f t="shared" si="3"/>
        <v>Chemical Injection Coupling</v>
      </c>
    </row>
    <row r="15" spans="1:13" x14ac:dyDescent="0.25">
      <c r="D15" s="2" t="s">
        <v>1</v>
      </c>
      <c r="E15" s="1" t="s">
        <v>581</v>
      </c>
      <c r="G15" t="s">
        <v>17</v>
      </c>
      <c r="H15" t="s">
        <v>1</v>
      </c>
      <c r="I15" t="str">
        <f t="shared" si="0"/>
        <v>M-D7</v>
      </c>
      <c r="J15" t="str">
        <f t="shared" si="1"/>
        <v>Hydraulic Coupling</v>
      </c>
      <c r="K15" t="str">
        <f t="shared" si="2"/>
        <v>D-D7</v>
      </c>
      <c r="L15" t="str">
        <f t="shared" si="3"/>
        <v>Hydraulic Coupling</v>
      </c>
    </row>
    <row r="16" spans="1:13" x14ac:dyDescent="0.25">
      <c r="D16" s="2" t="s">
        <v>2</v>
      </c>
      <c r="E16" s="1" t="s">
        <v>580</v>
      </c>
      <c r="G16" t="s">
        <v>15</v>
      </c>
      <c r="H16" t="s">
        <v>1</v>
      </c>
      <c r="I16" t="str">
        <f t="shared" si="0"/>
        <v>M-D8</v>
      </c>
      <c r="J16" t="str">
        <f t="shared" si="1"/>
        <v>Hydraulic Coupling</v>
      </c>
      <c r="K16" t="str">
        <f t="shared" si="2"/>
        <v>D-D8</v>
      </c>
      <c r="L16" t="str">
        <f t="shared" si="3"/>
        <v>Hydraulic Coupling</v>
      </c>
    </row>
    <row r="17" spans="4:13" x14ac:dyDescent="0.25">
      <c r="D17" s="2" t="s">
        <v>1</v>
      </c>
      <c r="E17" s="1" t="s">
        <v>579</v>
      </c>
      <c r="G17" t="s">
        <v>13</v>
      </c>
      <c r="H17" t="s">
        <v>4</v>
      </c>
      <c r="J17" t="str">
        <f t="shared" si="1"/>
        <v>Shuttle Valve</v>
      </c>
      <c r="K17" t="str">
        <f t="shared" si="2"/>
        <v>D-SV1</v>
      </c>
      <c r="L17" t="str">
        <f t="shared" si="3"/>
        <v>Shuttle Valve</v>
      </c>
    </row>
    <row r="18" spans="4:13" x14ac:dyDescent="0.25">
      <c r="D18" s="2" t="s">
        <v>1</v>
      </c>
      <c r="E18" s="1" t="s">
        <v>578</v>
      </c>
      <c r="G18" t="s">
        <v>11</v>
      </c>
      <c r="H18" t="s">
        <v>4</v>
      </c>
      <c r="J18" t="str">
        <f t="shared" si="1"/>
        <v>Shuttle Valve</v>
      </c>
      <c r="K18" t="str">
        <f t="shared" si="2"/>
        <v>D-SV2</v>
      </c>
      <c r="L18" t="str">
        <f t="shared" si="3"/>
        <v>Shuttle Valve</v>
      </c>
    </row>
    <row r="19" spans="4:13" x14ac:dyDescent="0.25">
      <c r="D19" s="2" t="s">
        <v>2</v>
      </c>
      <c r="E19" s="1" t="s">
        <v>577</v>
      </c>
    </row>
    <row r="20" spans="4:13" x14ac:dyDescent="0.25">
      <c r="D20" s="2" t="s">
        <v>1</v>
      </c>
      <c r="E20" s="1" t="s">
        <v>576</v>
      </c>
      <c r="G20" t="s">
        <v>36</v>
      </c>
      <c r="H20" t="s">
        <v>0</v>
      </c>
      <c r="J20" t="str">
        <f t="shared" ref="J20:J31" si="4">H20</f>
        <v>Static Hydraulic Core</v>
      </c>
      <c r="L20" t="str">
        <f t="shared" ref="L20:L31" si="5">H20</f>
        <v>Static Hydraulic Core</v>
      </c>
      <c r="M20" t="str">
        <f t="shared" ref="M20:M31" si="6">M$2&amp;"-"&amp;$G20</f>
        <v>S-HPA</v>
      </c>
    </row>
    <row r="21" spans="4:13" x14ac:dyDescent="0.25">
      <c r="D21" s="2" t="s">
        <v>2</v>
      </c>
      <c r="E21" s="1" t="s">
        <v>575</v>
      </c>
      <c r="G21" t="s">
        <v>34</v>
      </c>
      <c r="H21" t="s">
        <v>0</v>
      </c>
      <c r="J21" t="str">
        <f t="shared" si="4"/>
        <v>Static Hydraulic Core</v>
      </c>
      <c r="L21" t="str">
        <f t="shared" si="5"/>
        <v>Static Hydraulic Core</v>
      </c>
      <c r="M21" t="str">
        <f t="shared" si="6"/>
        <v>S-HPB</v>
      </c>
    </row>
    <row r="22" spans="4:13" x14ac:dyDescent="0.25">
      <c r="D22" s="2" t="s">
        <v>2</v>
      </c>
      <c r="E22" s="1" t="s">
        <v>574</v>
      </c>
      <c r="G22" t="s">
        <v>586</v>
      </c>
      <c r="H22" t="s">
        <v>0</v>
      </c>
      <c r="J22" t="str">
        <f t="shared" si="4"/>
        <v>Static Hydraulic Core</v>
      </c>
      <c r="L22" t="str">
        <f t="shared" si="5"/>
        <v>Static Hydraulic Core</v>
      </c>
      <c r="M22" t="str">
        <f t="shared" si="6"/>
        <v>S-LFA</v>
      </c>
    </row>
    <row r="23" spans="4:13" x14ac:dyDescent="0.25">
      <c r="D23" s="2" t="s">
        <v>1</v>
      </c>
      <c r="E23" s="1" t="s">
        <v>573</v>
      </c>
      <c r="G23" t="s">
        <v>30</v>
      </c>
      <c r="H23" t="s">
        <v>0</v>
      </c>
      <c r="J23" t="str">
        <f t="shared" si="4"/>
        <v>Static Hydraulic Core</v>
      </c>
      <c r="L23" t="str">
        <f t="shared" si="5"/>
        <v>Static Hydraulic Core</v>
      </c>
      <c r="M23" t="str">
        <f t="shared" si="6"/>
        <v>S-LPB</v>
      </c>
    </row>
    <row r="24" spans="4:13" x14ac:dyDescent="0.25">
      <c r="D24" s="2" t="s">
        <v>2</v>
      </c>
      <c r="E24" s="1" t="s">
        <v>572</v>
      </c>
      <c r="G24" t="s">
        <v>462</v>
      </c>
      <c r="H24" t="s">
        <v>6</v>
      </c>
      <c r="J24" t="str">
        <f t="shared" si="4"/>
        <v>Static Electric Core</v>
      </c>
      <c r="L24" t="str">
        <f t="shared" si="5"/>
        <v>Static Electric Core</v>
      </c>
      <c r="M24" t="str">
        <f t="shared" si="6"/>
        <v>S-PA</v>
      </c>
    </row>
    <row r="25" spans="4:13" x14ac:dyDescent="0.25">
      <c r="D25" s="2" t="s">
        <v>1</v>
      </c>
      <c r="E25" s="1" t="s">
        <v>571</v>
      </c>
      <c r="G25" t="s">
        <v>460</v>
      </c>
      <c r="H25" t="s">
        <v>6</v>
      </c>
      <c r="J25" t="str">
        <f t="shared" si="4"/>
        <v>Static Electric Core</v>
      </c>
      <c r="L25" t="str">
        <f t="shared" si="5"/>
        <v>Static Electric Core</v>
      </c>
      <c r="M25" t="str">
        <f t="shared" si="6"/>
        <v>S-PB</v>
      </c>
    </row>
    <row r="26" spans="4:13" x14ac:dyDescent="0.25">
      <c r="D26" s="2" t="s">
        <v>1</v>
      </c>
      <c r="E26" s="1" t="s">
        <v>570</v>
      </c>
      <c r="G26" t="s">
        <v>26</v>
      </c>
      <c r="H26" t="s">
        <v>1</v>
      </c>
      <c r="J26" t="str">
        <f t="shared" si="4"/>
        <v>Hydraulic Coupling</v>
      </c>
      <c r="L26" t="str">
        <f t="shared" si="5"/>
        <v>Hydraulic Coupling</v>
      </c>
      <c r="M26" t="str">
        <f t="shared" si="6"/>
        <v>S-D1</v>
      </c>
    </row>
    <row r="27" spans="4:13" x14ac:dyDescent="0.25">
      <c r="D27" s="2" t="s">
        <v>4</v>
      </c>
      <c r="E27" s="1" t="s">
        <v>569</v>
      </c>
      <c r="G27" t="s">
        <v>25</v>
      </c>
      <c r="H27" t="s">
        <v>1</v>
      </c>
      <c r="J27" t="str">
        <f t="shared" si="4"/>
        <v>Hydraulic Coupling</v>
      </c>
      <c r="L27" t="str">
        <f t="shared" si="5"/>
        <v>Hydraulic Coupling</v>
      </c>
      <c r="M27" t="str">
        <f t="shared" si="6"/>
        <v>S-D2</v>
      </c>
    </row>
    <row r="28" spans="4:13" x14ac:dyDescent="0.25">
      <c r="D28" s="2" t="s">
        <v>4</v>
      </c>
      <c r="E28" s="1" t="s">
        <v>568</v>
      </c>
      <c r="G28" t="s">
        <v>23</v>
      </c>
      <c r="H28" t="s">
        <v>1</v>
      </c>
      <c r="J28" t="str">
        <f t="shared" si="4"/>
        <v>Hydraulic Coupling</v>
      </c>
      <c r="L28" t="str">
        <f t="shared" si="5"/>
        <v>Hydraulic Coupling</v>
      </c>
      <c r="M28" t="str">
        <f t="shared" si="6"/>
        <v>S-D3</v>
      </c>
    </row>
    <row r="29" spans="4:13" x14ac:dyDescent="0.25">
      <c r="D29" s="2" t="s">
        <v>100</v>
      </c>
      <c r="E29" s="1" t="s">
        <v>485</v>
      </c>
      <c r="G29" t="s">
        <v>21</v>
      </c>
      <c r="H29" t="s">
        <v>1</v>
      </c>
      <c r="J29" t="str">
        <f t="shared" si="4"/>
        <v>Hydraulic Coupling</v>
      </c>
      <c r="L29" t="str">
        <f t="shared" si="5"/>
        <v>Hydraulic Coupling</v>
      </c>
      <c r="M29" t="str">
        <f t="shared" si="6"/>
        <v>S-D4</v>
      </c>
    </row>
    <row r="30" spans="4:13" x14ac:dyDescent="0.25">
      <c r="D30" s="2" t="s">
        <v>100</v>
      </c>
      <c r="E30" s="1" t="s">
        <v>567</v>
      </c>
      <c r="G30" t="s">
        <v>18</v>
      </c>
      <c r="H30" t="s">
        <v>5</v>
      </c>
      <c r="J30" t="str">
        <f t="shared" si="4"/>
        <v>Power/Signal Coupling</v>
      </c>
      <c r="L30" t="str">
        <f t="shared" si="5"/>
        <v>Power/Signal Coupling</v>
      </c>
      <c r="M30" t="str">
        <f t="shared" si="6"/>
        <v>S-D5</v>
      </c>
    </row>
    <row r="31" spans="4:13" x14ac:dyDescent="0.25">
      <c r="D31" s="2" t="s">
        <v>100</v>
      </c>
      <c r="E31" s="1" t="s">
        <v>487</v>
      </c>
      <c r="G31" t="s">
        <v>8</v>
      </c>
      <c r="H31" t="s">
        <v>5</v>
      </c>
      <c r="J31" t="str">
        <f t="shared" si="4"/>
        <v>Power/Signal Coupling</v>
      </c>
      <c r="L31" t="str">
        <f t="shared" si="5"/>
        <v>Power/Signal Coupling</v>
      </c>
      <c r="M31" t="str">
        <f t="shared" si="6"/>
        <v>S-D6</v>
      </c>
    </row>
    <row r="32" spans="4:13" x14ac:dyDescent="0.25">
      <c r="D32" s="2" t="s">
        <v>100</v>
      </c>
      <c r="E32" s="1" t="s">
        <v>488</v>
      </c>
    </row>
    <row r="33" spans="4:5" x14ac:dyDescent="0.25">
      <c r="D33" s="2" t="s">
        <v>100</v>
      </c>
      <c r="E33" s="1" t="s">
        <v>566</v>
      </c>
    </row>
    <row r="34" spans="4:5" x14ac:dyDescent="0.25">
      <c r="D34" s="2" t="s">
        <v>100</v>
      </c>
      <c r="E34" s="1" t="s">
        <v>565</v>
      </c>
    </row>
    <row r="35" spans="4:5" x14ac:dyDescent="0.25">
      <c r="D35" s="2" t="s">
        <v>100</v>
      </c>
      <c r="E35" s="1" t="s">
        <v>564</v>
      </c>
    </row>
    <row r="36" spans="4:5" x14ac:dyDescent="0.25">
      <c r="D36" s="2" t="s">
        <v>100</v>
      </c>
      <c r="E36" s="1" t="s">
        <v>486</v>
      </c>
    </row>
    <row r="37" spans="4:5" x14ac:dyDescent="0.25">
      <c r="D37" s="2" t="s">
        <v>100</v>
      </c>
      <c r="E37" s="1" t="s">
        <v>563</v>
      </c>
    </row>
    <row r="38" spans="4:5" x14ac:dyDescent="0.25">
      <c r="D38" s="2" t="s">
        <v>100</v>
      </c>
      <c r="E38" s="1" t="s">
        <v>562</v>
      </c>
    </row>
    <row r="39" spans="4:5" x14ac:dyDescent="0.25">
      <c r="D39" s="2" t="s">
        <v>100</v>
      </c>
      <c r="E39" s="1" t="s">
        <v>561</v>
      </c>
    </row>
    <row r="40" spans="4:5" x14ac:dyDescent="0.25">
      <c r="D40" s="2" t="s">
        <v>100</v>
      </c>
      <c r="E40" s="1" t="s">
        <v>560</v>
      </c>
    </row>
    <row r="41" spans="4:5" x14ac:dyDescent="0.25">
      <c r="D41" s="2" t="s">
        <v>100</v>
      </c>
      <c r="E41" s="1" t="s">
        <v>559</v>
      </c>
    </row>
    <row r="42" spans="4:5" x14ac:dyDescent="0.25">
      <c r="D42" s="2" t="s">
        <v>100</v>
      </c>
      <c r="E42" s="1" t="s">
        <v>558</v>
      </c>
    </row>
    <row r="43" spans="4:5" x14ac:dyDescent="0.25">
      <c r="D43" s="2" t="s">
        <v>100</v>
      </c>
      <c r="E43" s="1" t="s">
        <v>557</v>
      </c>
    </row>
    <row r="44" spans="4:5" x14ac:dyDescent="0.25">
      <c r="D44" s="2" t="s">
        <v>555</v>
      </c>
      <c r="E44" s="1" t="s">
        <v>556</v>
      </c>
    </row>
    <row r="45" spans="4:5" x14ac:dyDescent="0.25">
      <c r="D45" s="2" t="s">
        <v>555</v>
      </c>
      <c r="E45" s="1" t="s">
        <v>554</v>
      </c>
    </row>
    <row r="46" spans="4:5" x14ac:dyDescent="0.25">
      <c r="D46" s="2" t="s">
        <v>552</v>
      </c>
      <c r="E46" s="1" t="s">
        <v>553</v>
      </c>
    </row>
    <row r="47" spans="4:5" x14ac:dyDescent="0.25">
      <c r="D47" s="2" t="s">
        <v>552</v>
      </c>
      <c r="E47" s="1" t="s">
        <v>551</v>
      </c>
    </row>
    <row r="48" spans="4:5" x14ac:dyDescent="0.25">
      <c r="D48" s="2" t="s">
        <v>552</v>
      </c>
      <c r="E48" s="1" t="s">
        <v>550</v>
      </c>
    </row>
    <row r="49" spans="4:5" x14ac:dyDescent="0.25">
      <c r="D49" s="2" t="s">
        <v>552</v>
      </c>
      <c r="E49" s="1" t="s">
        <v>549</v>
      </c>
    </row>
    <row r="50" spans="4:5" x14ac:dyDescent="0.25">
      <c r="D50" s="2" t="s">
        <v>552</v>
      </c>
      <c r="E50" s="1" t="s">
        <v>548</v>
      </c>
    </row>
    <row r="51" spans="4:5" x14ac:dyDescent="0.25">
      <c r="D51" s="2" t="s">
        <v>552</v>
      </c>
      <c r="E51" s="1" t="s">
        <v>547</v>
      </c>
    </row>
    <row r="52" spans="4:5" x14ac:dyDescent="0.25">
      <c r="D52" s="2" t="s">
        <v>552</v>
      </c>
      <c r="E52" s="1" t="s">
        <v>546</v>
      </c>
    </row>
    <row r="53" spans="4:5" x14ac:dyDescent="0.25">
      <c r="D53" s="2" t="s">
        <v>552</v>
      </c>
      <c r="E53" s="1" t="s">
        <v>545</v>
      </c>
    </row>
    <row r="54" spans="4:5" x14ac:dyDescent="0.25">
      <c r="D54" s="2" t="s">
        <v>552</v>
      </c>
      <c r="E54" s="1" t="s">
        <v>544</v>
      </c>
    </row>
    <row r="55" spans="4:5" x14ac:dyDescent="0.25">
      <c r="D55" s="2" t="s">
        <v>552</v>
      </c>
      <c r="E55" s="1" t="s">
        <v>543</v>
      </c>
    </row>
    <row r="56" spans="4:5" x14ac:dyDescent="0.25">
      <c r="D56" s="2" t="s">
        <v>552</v>
      </c>
      <c r="E56" s="1" t="s">
        <v>542</v>
      </c>
    </row>
    <row r="57" spans="4:5" x14ac:dyDescent="0.25">
      <c r="D57" s="2" t="s">
        <v>540</v>
      </c>
      <c r="E57" s="1" t="s">
        <v>541</v>
      </c>
    </row>
    <row r="58" spans="4:5" x14ac:dyDescent="0.25">
      <c r="D58" s="2" t="s">
        <v>540</v>
      </c>
      <c r="E58" s="1" t="s">
        <v>539</v>
      </c>
    </row>
    <row r="59" spans="4:5" x14ac:dyDescent="0.25">
      <c r="D59" s="2" t="s">
        <v>538</v>
      </c>
      <c r="E59" s="1" t="s">
        <v>537</v>
      </c>
    </row>
    <row r="60" spans="4:5" x14ac:dyDescent="0.25">
      <c r="D60" s="2" t="s">
        <v>66</v>
      </c>
      <c r="E60" s="1" t="s">
        <v>536</v>
      </c>
    </row>
    <row r="61" spans="4:5" x14ac:dyDescent="0.25">
      <c r="D61" s="2" t="s">
        <v>66</v>
      </c>
      <c r="E61" s="1" t="s">
        <v>535</v>
      </c>
    </row>
    <row r="62" spans="4:5" x14ac:dyDescent="0.25">
      <c r="D62" s="2" t="s">
        <v>66</v>
      </c>
      <c r="E62" s="1" t="s">
        <v>534</v>
      </c>
    </row>
    <row r="63" spans="4:5" x14ac:dyDescent="0.25">
      <c r="D63" s="2" t="s">
        <v>66</v>
      </c>
      <c r="E63" s="1" t="s">
        <v>533</v>
      </c>
    </row>
    <row r="64" spans="4:5" x14ac:dyDescent="0.25">
      <c r="D64" s="2" t="s">
        <v>66</v>
      </c>
      <c r="E64" s="1" t="s">
        <v>532</v>
      </c>
    </row>
    <row r="65" spans="4:5" x14ac:dyDescent="0.25">
      <c r="D65" s="2" t="s">
        <v>66</v>
      </c>
      <c r="E65" s="1" t="s">
        <v>531</v>
      </c>
    </row>
    <row r="66" spans="4:5" x14ac:dyDescent="0.25">
      <c r="D66" s="2" t="s">
        <v>66</v>
      </c>
      <c r="E66" s="1" t="s">
        <v>530</v>
      </c>
    </row>
    <row r="67" spans="4:5" x14ac:dyDescent="0.25">
      <c r="D67" s="2" t="s">
        <v>66</v>
      </c>
      <c r="E67" s="1" t="s">
        <v>529</v>
      </c>
    </row>
    <row r="68" spans="4:5" x14ac:dyDescent="0.25">
      <c r="D68" s="2" t="s">
        <v>66</v>
      </c>
      <c r="E68" s="1" t="s">
        <v>528</v>
      </c>
    </row>
    <row r="69" spans="4:5" x14ac:dyDescent="0.25">
      <c r="D69" s="2" t="s">
        <v>66</v>
      </c>
      <c r="E69" s="1" t="s">
        <v>527</v>
      </c>
    </row>
    <row r="70" spans="4:5" x14ac:dyDescent="0.25">
      <c r="D70" s="2" t="s">
        <v>66</v>
      </c>
      <c r="E70" s="1" t="s">
        <v>526</v>
      </c>
    </row>
    <row r="71" spans="4:5" x14ac:dyDescent="0.25">
      <c r="D71" s="2" t="s">
        <v>66</v>
      </c>
      <c r="E71" s="1" t="s">
        <v>525</v>
      </c>
    </row>
    <row r="72" spans="4:5" x14ac:dyDescent="0.25">
      <c r="D72" s="2" t="s">
        <v>66</v>
      </c>
      <c r="E72" s="1" t="s">
        <v>524</v>
      </c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62"/>
  <sheetViews>
    <sheetView topLeftCell="A23" workbookViewId="0">
      <selection activeCell="D3" sqref="D3:E62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12.42578125" bestFit="1" customWidth="1"/>
    <col min="10" max="10" width="26.28515625" bestFit="1" customWidth="1"/>
    <col min="11" max="11" width="7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601</v>
      </c>
      <c r="K2" s="6" t="s">
        <v>37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P110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CH110-PIVO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CH110-PIVC</v>
      </c>
      <c r="J4" s="6"/>
      <c r="K4" s="6"/>
    </row>
    <row r="5" spans="1:11" x14ac:dyDescent="0.25">
      <c r="D5" s="2" t="s">
        <v>1</v>
      </c>
      <c r="E5" s="1" t="s">
        <v>50</v>
      </c>
      <c r="G5" s="6" t="s">
        <v>28</v>
      </c>
      <c r="H5" t="s">
        <v>0</v>
      </c>
      <c r="I5" t="str">
        <f t="shared" si="0"/>
        <v>CH110-THV</v>
      </c>
    </row>
    <row r="6" spans="1:11" x14ac:dyDescent="0.25">
      <c r="D6" s="2" t="s">
        <v>1</v>
      </c>
      <c r="E6" s="1" t="s">
        <v>49</v>
      </c>
      <c r="G6" s="6" t="s">
        <v>27</v>
      </c>
      <c r="H6" t="s">
        <v>0</v>
      </c>
      <c r="I6" t="str">
        <f t="shared" si="0"/>
        <v>CH110-PHV</v>
      </c>
    </row>
    <row r="7" spans="1:11" x14ac:dyDescent="0.25">
      <c r="D7" s="2" t="s">
        <v>1</v>
      </c>
      <c r="E7" s="1" t="s">
        <v>48</v>
      </c>
      <c r="G7" t="s">
        <v>589</v>
      </c>
      <c r="H7" t="s">
        <v>3</v>
      </c>
      <c r="I7" t="str">
        <f t="shared" si="0"/>
        <v>CH110-SCALE</v>
      </c>
    </row>
    <row r="8" spans="1:11" x14ac:dyDescent="0.25">
      <c r="D8" s="2" t="s">
        <v>1</v>
      </c>
      <c r="E8" s="1" t="s">
        <v>47</v>
      </c>
      <c r="G8" t="s">
        <v>29</v>
      </c>
      <c r="H8" t="s">
        <v>3</v>
      </c>
      <c r="I8" t="str">
        <f t="shared" si="0"/>
        <v>CH110-WAX</v>
      </c>
    </row>
    <row r="9" spans="1:11" x14ac:dyDescent="0.25">
      <c r="D9" s="2" t="s">
        <v>5</v>
      </c>
      <c r="E9" s="1" t="s">
        <v>46</v>
      </c>
      <c r="G9" t="s">
        <v>588</v>
      </c>
      <c r="H9" t="s">
        <v>3</v>
      </c>
      <c r="I9" t="str">
        <f t="shared" si="0"/>
        <v>CH110-HF</v>
      </c>
    </row>
    <row r="10" spans="1:11" x14ac:dyDescent="0.25">
      <c r="D10" s="2" t="s">
        <v>5</v>
      </c>
      <c r="E10" s="1" t="s">
        <v>45</v>
      </c>
      <c r="G10" t="s">
        <v>587</v>
      </c>
      <c r="H10" t="s">
        <v>3</v>
      </c>
      <c r="I10" t="str">
        <f t="shared" si="0"/>
        <v>CH110-LF</v>
      </c>
    </row>
    <row r="11" spans="1:11" x14ac:dyDescent="0.25">
      <c r="D11" s="2" t="s">
        <v>2</v>
      </c>
      <c r="E11" s="1" t="s">
        <v>600</v>
      </c>
      <c r="G11" t="s">
        <v>26</v>
      </c>
      <c r="H11" t="s">
        <v>2</v>
      </c>
      <c r="I11" t="str">
        <f t="shared" si="0"/>
        <v>CH110-D1</v>
      </c>
    </row>
    <row r="12" spans="1:11" x14ac:dyDescent="0.25">
      <c r="D12" s="2" t="s">
        <v>1</v>
      </c>
      <c r="E12" s="1" t="s">
        <v>599</v>
      </c>
      <c r="G12" t="s">
        <v>25</v>
      </c>
      <c r="H12" t="s">
        <v>1</v>
      </c>
      <c r="I12" t="str">
        <f t="shared" si="0"/>
        <v>CH110-D2</v>
      </c>
    </row>
    <row r="13" spans="1:11" x14ac:dyDescent="0.25">
      <c r="D13" s="2" t="s">
        <v>2</v>
      </c>
      <c r="E13" s="1" t="s">
        <v>598</v>
      </c>
      <c r="G13" t="s">
        <v>23</v>
      </c>
      <c r="H13" t="s">
        <v>2</v>
      </c>
      <c r="I13" t="str">
        <f t="shared" si="0"/>
        <v>CH110-D3</v>
      </c>
    </row>
    <row r="14" spans="1:11" x14ac:dyDescent="0.25">
      <c r="D14" s="2" t="s">
        <v>2</v>
      </c>
      <c r="E14" s="1" t="s">
        <v>597</v>
      </c>
      <c r="G14" t="s">
        <v>21</v>
      </c>
      <c r="H14" t="s">
        <v>2</v>
      </c>
      <c r="I14" t="str">
        <f t="shared" si="0"/>
        <v>CH110-D4</v>
      </c>
    </row>
    <row r="15" spans="1:11" x14ac:dyDescent="0.25">
      <c r="D15" s="2" t="s">
        <v>1</v>
      </c>
      <c r="E15" s="1" t="s">
        <v>596</v>
      </c>
      <c r="G15" t="s">
        <v>18</v>
      </c>
      <c r="H15" t="s">
        <v>1</v>
      </c>
      <c r="I15" t="str">
        <f t="shared" si="0"/>
        <v>CH110-D5</v>
      </c>
    </row>
    <row r="16" spans="1:11" x14ac:dyDescent="0.25">
      <c r="D16" s="2" t="s">
        <v>2</v>
      </c>
      <c r="E16" s="1" t="s">
        <v>595</v>
      </c>
      <c r="G16" t="s">
        <v>8</v>
      </c>
      <c r="H16" t="s">
        <v>2</v>
      </c>
      <c r="I16" t="str">
        <f t="shared" si="0"/>
        <v>CH110-D6</v>
      </c>
    </row>
    <row r="17" spans="4:11" x14ac:dyDescent="0.25">
      <c r="D17" s="2" t="s">
        <v>1</v>
      </c>
      <c r="E17" s="1" t="s">
        <v>594</v>
      </c>
      <c r="G17" t="s">
        <v>17</v>
      </c>
      <c r="H17" t="s">
        <v>1</v>
      </c>
      <c r="I17" t="str">
        <f t="shared" si="0"/>
        <v>CH110-D7</v>
      </c>
    </row>
    <row r="18" spans="4:11" x14ac:dyDescent="0.25">
      <c r="D18" s="2" t="s">
        <v>1</v>
      </c>
      <c r="E18" s="1" t="s">
        <v>593</v>
      </c>
      <c r="G18" t="s">
        <v>15</v>
      </c>
      <c r="H18" t="s">
        <v>1</v>
      </c>
      <c r="I18" t="str">
        <f t="shared" si="0"/>
        <v>CH110-D8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P110-HPA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P110-HPB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P110-LFA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P110-LPB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P110-PA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P110-PB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P110-D1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P110-D2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P110-D3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P110-D4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P110-D5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P110-D6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550</v>
      </c>
    </row>
    <row r="39" spans="4:5" x14ac:dyDescent="0.25">
      <c r="D39" s="2" t="s">
        <v>552</v>
      </c>
      <c r="E39" s="1" t="s">
        <v>549</v>
      </c>
    </row>
    <row r="40" spans="4:5" x14ac:dyDescent="0.25">
      <c r="D40" s="2" t="s">
        <v>552</v>
      </c>
      <c r="E40" s="1" t="s">
        <v>548</v>
      </c>
    </row>
    <row r="41" spans="4:5" x14ac:dyDescent="0.25">
      <c r="D41" s="2" t="s">
        <v>552</v>
      </c>
      <c r="E41" s="1" t="s">
        <v>547</v>
      </c>
    </row>
    <row r="42" spans="4:5" x14ac:dyDescent="0.25">
      <c r="D42" s="2" t="s">
        <v>552</v>
      </c>
      <c r="E42" s="1" t="s">
        <v>546</v>
      </c>
    </row>
    <row r="43" spans="4:5" x14ac:dyDescent="0.25">
      <c r="D43" s="2" t="s">
        <v>552</v>
      </c>
      <c r="E43" s="1" t="s">
        <v>545</v>
      </c>
    </row>
    <row r="44" spans="4:5" x14ac:dyDescent="0.25">
      <c r="D44" s="2" t="s">
        <v>552</v>
      </c>
      <c r="E44" s="1" t="s">
        <v>544</v>
      </c>
    </row>
    <row r="45" spans="4:5" x14ac:dyDescent="0.25">
      <c r="D45" s="2" t="s">
        <v>552</v>
      </c>
      <c r="E45" s="1" t="s">
        <v>543</v>
      </c>
    </row>
    <row r="46" spans="4:5" x14ac:dyDescent="0.25">
      <c r="D46" s="2" t="s">
        <v>552</v>
      </c>
      <c r="E46" s="1" t="s">
        <v>542</v>
      </c>
    </row>
    <row r="47" spans="4:5" x14ac:dyDescent="0.25">
      <c r="D47" s="2" t="s">
        <v>540</v>
      </c>
      <c r="E47" s="1" t="s">
        <v>541</v>
      </c>
    </row>
    <row r="48" spans="4:5" x14ac:dyDescent="0.25">
      <c r="D48" s="2" t="s">
        <v>540</v>
      </c>
      <c r="E48" s="1" t="s">
        <v>539</v>
      </c>
    </row>
    <row r="49" spans="4:5" x14ac:dyDescent="0.25">
      <c r="D49" s="2" t="s">
        <v>538</v>
      </c>
      <c r="E49" s="1" t="s">
        <v>537</v>
      </c>
    </row>
    <row r="50" spans="4:5" x14ac:dyDescent="0.25">
      <c r="D50" s="2" t="s">
        <v>66</v>
      </c>
      <c r="E50" s="1" t="s">
        <v>536</v>
      </c>
    </row>
    <row r="51" spans="4:5" x14ac:dyDescent="0.25">
      <c r="D51" s="2" t="s">
        <v>66</v>
      </c>
      <c r="E51" s="1" t="s">
        <v>535</v>
      </c>
    </row>
    <row r="52" spans="4:5" x14ac:dyDescent="0.25">
      <c r="D52" s="2" t="s">
        <v>66</v>
      </c>
      <c r="E52" s="1" t="s">
        <v>534</v>
      </c>
    </row>
    <row r="53" spans="4:5" x14ac:dyDescent="0.25">
      <c r="D53" s="2" t="s">
        <v>66</v>
      </c>
      <c r="E53" s="1" t="s">
        <v>533</v>
      </c>
    </row>
    <row r="54" spans="4:5" x14ac:dyDescent="0.25">
      <c r="D54" s="2" t="s">
        <v>66</v>
      </c>
      <c r="E54" s="1" t="s">
        <v>532</v>
      </c>
    </row>
    <row r="55" spans="4:5" x14ac:dyDescent="0.25">
      <c r="D55" s="2" t="s">
        <v>66</v>
      </c>
      <c r="E55" s="1" t="s">
        <v>531</v>
      </c>
    </row>
    <row r="56" spans="4:5" x14ac:dyDescent="0.25">
      <c r="D56" s="2" t="s">
        <v>66</v>
      </c>
      <c r="E56" s="1" t="s">
        <v>530</v>
      </c>
    </row>
    <row r="57" spans="4:5" x14ac:dyDescent="0.25">
      <c r="D57" s="2" t="s">
        <v>66</v>
      </c>
      <c r="E57" s="1" t="s">
        <v>529</v>
      </c>
    </row>
    <row r="58" spans="4:5" x14ac:dyDescent="0.25">
      <c r="D58" s="2" t="s">
        <v>66</v>
      </c>
      <c r="E58" s="1" t="s">
        <v>528</v>
      </c>
    </row>
    <row r="59" spans="4:5" x14ac:dyDescent="0.25">
      <c r="D59" s="2" t="s">
        <v>66</v>
      </c>
      <c r="E59" s="1" t="s">
        <v>527</v>
      </c>
    </row>
    <row r="60" spans="4:5" x14ac:dyDescent="0.25">
      <c r="D60" s="2" t="s">
        <v>66</v>
      </c>
      <c r="E60" s="1" t="s">
        <v>526</v>
      </c>
    </row>
    <row r="61" spans="4:5" x14ac:dyDescent="0.25">
      <c r="D61" s="2" t="s">
        <v>66</v>
      </c>
      <c r="E61" s="1" t="s">
        <v>525</v>
      </c>
    </row>
    <row r="62" spans="4:5" x14ac:dyDescent="0.25">
      <c r="D62" s="2" t="s">
        <v>66</v>
      </c>
      <c r="E62" s="1" t="s">
        <v>524</v>
      </c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62"/>
  <sheetViews>
    <sheetView topLeftCell="A23" workbookViewId="0">
      <selection activeCell="A53" sqref="A53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Others (Combined)</v>
      </c>
      <c r="C3" s="2" t="str">
        <f ca="1">MID(CELL("filename",A1),FIND("]",CELL("filename",A1))+1,255)</f>
        <v>P111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550</v>
      </c>
    </row>
    <row r="39" spans="4:5" x14ac:dyDescent="0.25">
      <c r="D39" s="2" t="s">
        <v>552</v>
      </c>
      <c r="E39" s="1" t="s">
        <v>549</v>
      </c>
    </row>
    <row r="40" spans="4:5" x14ac:dyDescent="0.25">
      <c r="D40" s="2" t="s">
        <v>552</v>
      </c>
      <c r="E40" s="1" t="s">
        <v>548</v>
      </c>
    </row>
    <row r="41" spans="4:5" x14ac:dyDescent="0.25">
      <c r="D41" s="2" t="s">
        <v>552</v>
      </c>
      <c r="E41" s="1" t="s">
        <v>547</v>
      </c>
    </row>
    <row r="42" spans="4:5" x14ac:dyDescent="0.25">
      <c r="D42" s="2" t="s">
        <v>552</v>
      </c>
      <c r="E42" s="1" t="s">
        <v>546</v>
      </c>
    </row>
    <row r="43" spans="4:5" x14ac:dyDescent="0.25">
      <c r="D43" s="2" t="s">
        <v>552</v>
      </c>
      <c r="E43" s="1" t="s">
        <v>545</v>
      </c>
    </row>
    <row r="44" spans="4:5" x14ac:dyDescent="0.25">
      <c r="D44" s="2" t="s">
        <v>552</v>
      </c>
      <c r="E44" s="1" t="s">
        <v>544</v>
      </c>
    </row>
    <row r="45" spans="4:5" x14ac:dyDescent="0.25">
      <c r="D45" s="2" t="s">
        <v>552</v>
      </c>
      <c r="E45" s="1" t="s">
        <v>543</v>
      </c>
    </row>
    <row r="46" spans="4:5" x14ac:dyDescent="0.25">
      <c r="D46" s="2" t="s">
        <v>552</v>
      </c>
      <c r="E46" s="1" t="s">
        <v>542</v>
      </c>
    </row>
    <row r="47" spans="4:5" x14ac:dyDescent="0.25">
      <c r="D47" s="2" t="s">
        <v>540</v>
      </c>
      <c r="E47" s="1" t="s">
        <v>541</v>
      </c>
    </row>
    <row r="48" spans="4:5" x14ac:dyDescent="0.25">
      <c r="D48" s="2" t="s">
        <v>540</v>
      </c>
      <c r="E48" s="1" t="s">
        <v>539</v>
      </c>
    </row>
    <row r="49" spans="4:5" x14ac:dyDescent="0.25">
      <c r="D49" s="2" t="s">
        <v>538</v>
      </c>
      <c r="E49" s="1" t="s">
        <v>537</v>
      </c>
    </row>
    <row r="50" spans="4:5" x14ac:dyDescent="0.25">
      <c r="D50" s="2" t="s">
        <v>66</v>
      </c>
      <c r="E50" s="1" t="s">
        <v>536</v>
      </c>
    </row>
    <row r="51" spans="4:5" x14ac:dyDescent="0.25">
      <c r="D51" s="2" t="s">
        <v>66</v>
      </c>
      <c r="E51" s="1" t="s">
        <v>535</v>
      </c>
    </row>
    <row r="52" spans="4:5" x14ac:dyDescent="0.25">
      <c r="D52" s="2" t="s">
        <v>66</v>
      </c>
      <c r="E52" s="1" t="s">
        <v>534</v>
      </c>
    </row>
    <row r="53" spans="4:5" x14ac:dyDescent="0.25">
      <c r="D53" s="2" t="s">
        <v>66</v>
      </c>
      <c r="E53" s="1" t="s">
        <v>533</v>
      </c>
    </row>
    <row r="54" spans="4:5" x14ac:dyDescent="0.25">
      <c r="D54" s="2" t="s">
        <v>66</v>
      </c>
      <c r="E54" s="1" t="s">
        <v>532</v>
      </c>
    </row>
    <row r="55" spans="4:5" x14ac:dyDescent="0.25">
      <c r="D55" s="2" t="s">
        <v>66</v>
      </c>
      <c r="E55" s="1" t="s">
        <v>531</v>
      </c>
    </row>
    <row r="56" spans="4:5" x14ac:dyDescent="0.25">
      <c r="D56" s="2" t="s">
        <v>66</v>
      </c>
      <c r="E56" s="1" t="s">
        <v>530</v>
      </c>
    </row>
    <row r="57" spans="4:5" x14ac:dyDescent="0.25">
      <c r="D57" s="2" t="s">
        <v>66</v>
      </c>
      <c r="E57" s="1" t="s">
        <v>529</v>
      </c>
    </row>
    <row r="58" spans="4:5" x14ac:dyDescent="0.25">
      <c r="D58" s="2" t="s">
        <v>66</v>
      </c>
      <c r="E58" s="1" t="s">
        <v>528</v>
      </c>
    </row>
    <row r="59" spans="4:5" x14ac:dyDescent="0.25">
      <c r="D59" s="2" t="s">
        <v>66</v>
      </c>
      <c r="E59" s="1" t="s">
        <v>527</v>
      </c>
    </row>
    <row r="60" spans="4:5" x14ac:dyDescent="0.25">
      <c r="D60" s="2" t="s">
        <v>66</v>
      </c>
      <c r="E60" s="1" t="s">
        <v>526</v>
      </c>
    </row>
    <row r="61" spans="4:5" x14ac:dyDescent="0.25">
      <c r="D61" s="2" t="s">
        <v>66</v>
      </c>
      <c r="E61" s="1" t="s">
        <v>525</v>
      </c>
    </row>
    <row r="62" spans="4:5" x14ac:dyDescent="0.25">
      <c r="D62" s="2" t="s">
        <v>66</v>
      </c>
      <c r="E62" s="1" t="s">
        <v>524</v>
      </c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61"/>
  <sheetViews>
    <sheetView topLeftCell="A22" workbookViewId="0">
      <selection activeCell="D3" sqref="D3:E61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P12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550</v>
      </c>
    </row>
    <row r="39" spans="4:5" x14ac:dyDescent="0.25">
      <c r="D39" s="2" t="s">
        <v>552</v>
      </c>
      <c r="E39" s="1" t="s">
        <v>549</v>
      </c>
    </row>
    <row r="40" spans="4:5" x14ac:dyDescent="0.25">
      <c r="D40" s="2" t="s">
        <v>552</v>
      </c>
      <c r="E40" s="1" t="s">
        <v>548</v>
      </c>
    </row>
    <row r="41" spans="4:5" x14ac:dyDescent="0.25">
      <c r="D41" s="2" t="s">
        <v>552</v>
      </c>
      <c r="E41" s="1" t="s">
        <v>547</v>
      </c>
    </row>
    <row r="42" spans="4:5" x14ac:dyDescent="0.25">
      <c r="D42" s="2" t="s">
        <v>552</v>
      </c>
      <c r="E42" s="1" t="s">
        <v>546</v>
      </c>
    </row>
    <row r="43" spans="4:5" x14ac:dyDescent="0.25">
      <c r="D43" s="2" t="s">
        <v>552</v>
      </c>
      <c r="E43" s="1" t="s">
        <v>545</v>
      </c>
    </row>
    <row r="44" spans="4:5" x14ac:dyDescent="0.25">
      <c r="D44" s="2" t="s">
        <v>552</v>
      </c>
      <c r="E44" s="1" t="s">
        <v>544</v>
      </c>
    </row>
    <row r="45" spans="4:5" x14ac:dyDescent="0.25">
      <c r="D45" s="2" t="s">
        <v>552</v>
      </c>
      <c r="E45" s="1" t="s">
        <v>543</v>
      </c>
    </row>
    <row r="46" spans="4:5" x14ac:dyDescent="0.25">
      <c r="D46" s="2" t="s">
        <v>552</v>
      </c>
      <c r="E46" s="1" t="s">
        <v>542</v>
      </c>
    </row>
    <row r="47" spans="4:5" x14ac:dyDescent="0.25">
      <c r="D47" s="2" t="s">
        <v>540</v>
      </c>
      <c r="E47" s="1" t="s">
        <v>541</v>
      </c>
    </row>
    <row r="48" spans="4:5" x14ac:dyDescent="0.25">
      <c r="D48" s="2" t="s">
        <v>540</v>
      </c>
      <c r="E48" s="1" t="s">
        <v>539</v>
      </c>
    </row>
    <row r="49" spans="4:5" x14ac:dyDescent="0.25">
      <c r="D49" s="2" t="s">
        <v>66</v>
      </c>
      <c r="E49" s="1" t="s">
        <v>536</v>
      </c>
    </row>
    <row r="50" spans="4:5" x14ac:dyDescent="0.25">
      <c r="D50" s="2" t="s">
        <v>66</v>
      </c>
      <c r="E50" s="1" t="s">
        <v>535</v>
      </c>
    </row>
    <row r="51" spans="4:5" x14ac:dyDescent="0.25">
      <c r="D51" s="2" t="s">
        <v>66</v>
      </c>
      <c r="E51" s="1" t="s">
        <v>534</v>
      </c>
    </row>
    <row r="52" spans="4:5" x14ac:dyDescent="0.25">
      <c r="D52" s="2" t="s">
        <v>66</v>
      </c>
      <c r="E52" s="1" t="s">
        <v>533</v>
      </c>
    </row>
    <row r="53" spans="4:5" x14ac:dyDescent="0.25">
      <c r="D53" s="2" t="s">
        <v>66</v>
      </c>
      <c r="E53" s="1" t="s">
        <v>532</v>
      </c>
    </row>
    <row r="54" spans="4:5" x14ac:dyDescent="0.25">
      <c r="D54" s="2" t="s">
        <v>66</v>
      </c>
      <c r="E54" s="1" t="s">
        <v>531</v>
      </c>
    </row>
    <row r="55" spans="4:5" x14ac:dyDescent="0.25">
      <c r="D55" s="2" t="s">
        <v>66</v>
      </c>
      <c r="E55" s="1" t="s">
        <v>530</v>
      </c>
    </row>
    <row r="56" spans="4:5" x14ac:dyDescent="0.25">
      <c r="D56" s="2" t="s">
        <v>66</v>
      </c>
      <c r="E56" s="1" t="s">
        <v>529</v>
      </c>
    </row>
    <row r="57" spans="4:5" x14ac:dyDescent="0.25">
      <c r="D57" s="2" t="s">
        <v>66</v>
      </c>
      <c r="E57" s="1" t="s">
        <v>528</v>
      </c>
    </row>
    <row r="58" spans="4:5" x14ac:dyDescent="0.25">
      <c r="D58" s="2" t="s">
        <v>66</v>
      </c>
      <c r="E58" s="1" t="s">
        <v>527</v>
      </c>
    </row>
    <row r="59" spans="4:5" x14ac:dyDescent="0.25">
      <c r="D59" s="2" t="s">
        <v>66</v>
      </c>
      <c r="E59" s="1" t="s">
        <v>526</v>
      </c>
    </row>
    <row r="60" spans="4:5" x14ac:dyDescent="0.25">
      <c r="D60" s="2" t="s">
        <v>66</v>
      </c>
      <c r="E60" s="1" t="s">
        <v>525</v>
      </c>
    </row>
    <row r="61" spans="4:5" x14ac:dyDescent="0.25">
      <c r="D61" s="2" t="s">
        <v>66</v>
      </c>
      <c r="E61" s="1" t="s">
        <v>524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55"/>
  <sheetViews>
    <sheetView topLeftCell="A16" workbookViewId="0">
      <selection activeCell="D3" sqref="D3:E5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8" max="8" width="26.28515625" bestFit="1" customWidth="1"/>
    <col min="10" max="10" width="21.5703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P13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550</v>
      </c>
    </row>
    <row r="39" spans="4:5" x14ac:dyDescent="0.25">
      <c r="D39" s="2" t="s">
        <v>552</v>
      </c>
      <c r="E39" s="1" t="s">
        <v>549</v>
      </c>
    </row>
    <row r="40" spans="4:5" x14ac:dyDescent="0.25">
      <c r="D40" s="2" t="s">
        <v>552</v>
      </c>
      <c r="E40" s="1" t="s">
        <v>548</v>
      </c>
    </row>
    <row r="41" spans="4:5" x14ac:dyDescent="0.25">
      <c r="D41" s="2" t="s">
        <v>552</v>
      </c>
      <c r="E41" s="1" t="s">
        <v>547</v>
      </c>
    </row>
    <row r="42" spans="4:5" x14ac:dyDescent="0.25">
      <c r="D42" s="2" t="s">
        <v>552</v>
      </c>
      <c r="E42" s="1" t="s">
        <v>546</v>
      </c>
    </row>
    <row r="43" spans="4:5" x14ac:dyDescent="0.25">
      <c r="D43" s="2" t="s">
        <v>552</v>
      </c>
      <c r="E43" s="1" t="s">
        <v>545</v>
      </c>
    </row>
    <row r="44" spans="4:5" x14ac:dyDescent="0.25">
      <c r="D44" s="2" t="s">
        <v>552</v>
      </c>
      <c r="E44" s="1" t="s">
        <v>544</v>
      </c>
    </row>
    <row r="45" spans="4:5" x14ac:dyDescent="0.25">
      <c r="D45" s="2" t="s">
        <v>552</v>
      </c>
      <c r="E45" s="1" t="s">
        <v>543</v>
      </c>
    </row>
    <row r="46" spans="4:5" x14ac:dyDescent="0.25">
      <c r="D46" s="2" t="s">
        <v>552</v>
      </c>
      <c r="E46" s="1" t="s">
        <v>542</v>
      </c>
    </row>
    <row r="47" spans="4:5" x14ac:dyDescent="0.25">
      <c r="D47" s="2" t="s">
        <v>540</v>
      </c>
      <c r="E47" s="1" t="s">
        <v>541</v>
      </c>
    </row>
    <row r="48" spans="4:5" x14ac:dyDescent="0.25">
      <c r="D48" s="2" t="s">
        <v>540</v>
      </c>
      <c r="E48" s="1" t="s">
        <v>539</v>
      </c>
    </row>
    <row r="49" spans="4:5" x14ac:dyDescent="0.25">
      <c r="D49" s="2" t="s">
        <v>66</v>
      </c>
      <c r="E49" s="1" t="s">
        <v>536</v>
      </c>
    </row>
    <row r="50" spans="4:5" x14ac:dyDescent="0.25">
      <c r="D50" s="2" t="s">
        <v>66</v>
      </c>
      <c r="E50" s="1" t="s">
        <v>607</v>
      </c>
    </row>
    <row r="51" spans="4:5" x14ac:dyDescent="0.25">
      <c r="D51" s="2" t="s">
        <v>66</v>
      </c>
      <c r="E51" s="1" t="s">
        <v>606</v>
      </c>
    </row>
    <row r="52" spans="4:5" x14ac:dyDescent="0.25">
      <c r="D52" s="2" t="s">
        <v>66</v>
      </c>
      <c r="E52" s="1" t="s">
        <v>605</v>
      </c>
    </row>
    <row r="53" spans="4:5" x14ac:dyDescent="0.25">
      <c r="D53" s="2" t="s">
        <v>66</v>
      </c>
      <c r="E53" s="1" t="s">
        <v>604</v>
      </c>
    </row>
    <row r="54" spans="4:5" x14ac:dyDescent="0.25">
      <c r="D54" s="2" t="s">
        <v>66</v>
      </c>
      <c r="E54" s="1" t="s">
        <v>603</v>
      </c>
    </row>
    <row r="55" spans="4:5" x14ac:dyDescent="0.25">
      <c r="D55" s="2" t="s">
        <v>66</v>
      </c>
      <c r="E55" s="1" t="s">
        <v>602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55"/>
  <sheetViews>
    <sheetView topLeftCell="A7" workbookViewId="0">
      <selection activeCell="D3" sqref="D3:E5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P15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550</v>
      </c>
    </row>
    <row r="39" spans="4:5" x14ac:dyDescent="0.25">
      <c r="D39" s="2" t="s">
        <v>552</v>
      </c>
      <c r="E39" s="1" t="s">
        <v>549</v>
      </c>
    </row>
    <row r="40" spans="4:5" x14ac:dyDescent="0.25">
      <c r="D40" s="2" t="s">
        <v>552</v>
      </c>
      <c r="E40" s="1" t="s">
        <v>547</v>
      </c>
    </row>
    <row r="41" spans="4:5" x14ac:dyDescent="0.25">
      <c r="D41" s="2" t="s">
        <v>552</v>
      </c>
      <c r="E41" s="1" t="s">
        <v>546</v>
      </c>
    </row>
    <row r="42" spans="4:5" x14ac:dyDescent="0.25">
      <c r="D42" s="2" t="s">
        <v>552</v>
      </c>
      <c r="E42" s="1" t="s">
        <v>545</v>
      </c>
    </row>
    <row r="43" spans="4:5" x14ac:dyDescent="0.25">
      <c r="D43" s="2" t="s">
        <v>552</v>
      </c>
      <c r="E43" s="1" t="s">
        <v>544</v>
      </c>
    </row>
    <row r="44" spans="4:5" x14ac:dyDescent="0.25">
      <c r="D44" s="2" t="s">
        <v>552</v>
      </c>
      <c r="E44" s="1" t="s">
        <v>543</v>
      </c>
    </row>
    <row r="45" spans="4:5" x14ac:dyDescent="0.25">
      <c r="D45" s="2" t="s">
        <v>552</v>
      </c>
      <c r="E45" s="1" t="s">
        <v>542</v>
      </c>
    </row>
    <row r="46" spans="4:5" x14ac:dyDescent="0.25">
      <c r="D46" s="2" t="s">
        <v>540</v>
      </c>
      <c r="E46" s="1" t="s">
        <v>541</v>
      </c>
    </row>
    <row r="47" spans="4:5" x14ac:dyDescent="0.25">
      <c r="D47" s="2" t="s">
        <v>540</v>
      </c>
      <c r="E47" s="1" t="s">
        <v>539</v>
      </c>
    </row>
    <row r="48" spans="4:5" x14ac:dyDescent="0.25">
      <c r="D48" s="2" t="s">
        <v>552</v>
      </c>
      <c r="E48" s="1" t="s">
        <v>608</v>
      </c>
    </row>
    <row r="49" spans="4:5" x14ac:dyDescent="0.25">
      <c r="D49" s="2" t="s">
        <v>66</v>
      </c>
      <c r="E49" s="1" t="s">
        <v>536</v>
      </c>
    </row>
    <row r="50" spans="4:5" x14ac:dyDescent="0.25">
      <c r="D50" s="2" t="s">
        <v>66</v>
      </c>
      <c r="E50" s="1" t="s">
        <v>607</v>
      </c>
    </row>
    <row r="51" spans="4:5" x14ac:dyDescent="0.25">
      <c r="D51" s="2" t="s">
        <v>66</v>
      </c>
      <c r="E51" s="1" t="s">
        <v>606</v>
      </c>
    </row>
    <row r="52" spans="4:5" x14ac:dyDescent="0.25">
      <c r="D52" s="2" t="s">
        <v>66</v>
      </c>
      <c r="E52" s="1" t="s">
        <v>605</v>
      </c>
    </row>
    <row r="53" spans="4:5" x14ac:dyDescent="0.25">
      <c r="D53" s="2" t="s">
        <v>66</v>
      </c>
      <c r="E53" s="1" t="s">
        <v>604</v>
      </c>
    </row>
    <row r="54" spans="4:5" x14ac:dyDescent="0.25">
      <c r="D54" s="2" t="s">
        <v>66</v>
      </c>
      <c r="E54" s="1" t="s">
        <v>603</v>
      </c>
    </row>
    <row r="55" spans="4:5" x14ac:dyDescent="0.25">
      <c r="D55" s="2" t="s">
        <v>66</v>
      </c>
      <c r="E55" s="1" t="s">
        <v>602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75"/>
  <sheetViews>
    <sheetView topLeftCell="A5" workbookViewId="0">
      <selection activeCell="E75" sqref="E5:E7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6.28515625" bestFit="1" customWidth="1"/>
    <col min="11" max="11" width="8.28515625" bestFit="1" customWidth="1"/>
    <col min="12" max="12" width="26.28515625" bestFit="1" customWidth="1"/>
    <col min="13" max="13" width="6.42578125" bestFit="1" customWidth="1"/>
  </cols>
  <sheetData>
    <row r="1" spans="1:13" s="13" customFormat="1" x14ac:dyDescent="0.25">
      <c r="A1" s="14" t="s">
        <v>727</v>
      </c>
      <c r="B1" s="9" t="s">
        <v>729</v>
      </c>
      <c r="C1" s="3"/>
      <c r="D1" s="6"/>
      <c r="E1" s="6"/>
    </row>
    <row r="2" spans="1:13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269</v>
      </c>
      <c r="M2" s="6" t="s">
        <v>268</v>
      </c>
    </row>
    <row r="3" spans="1:13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P16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  <c r="L3" s="6"/>
      <c r="M3" s="6"/>
    </row>
    <row r="4" spans="1:13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  <c r="L4" s="6"/>
      <c r="M4" s="6"/>
    </row>
    <row r="5" spans="1:13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  <c r="L5" s="6"/>
      <c r="M5" s="6"/>
    </row>
    <row r="6" spans="1:13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  <c r="L6" s="6"/>
      <c r="M6" s="6"/>
    </row>
    <row r="7" spans="1:13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  <c r="J7" t="str">
        <f t="shared" ref="J7:J18" si="1">H7</f>
        <v>Static Chemical Core</v>
      </c>
      <c r="K7" t="str">
        <f t="shared" ref="K7:K18" si="2">K$2&amp;"-"&amp;$G7</f>
        <v>C-SCALE</v>
      </c>
      <c r="L7" t="str">
        <f t="shared" ref="L7:L18" si="3">H7</f>
        <v>Static Chemical Core</v>
      </c>
    </row>
    <row r="8" spans="1:13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  <c r="J8" t="str">
        <f t="shared" si="1"/>
        <v>Static Chemical Core</v>
      </c>
      <c r="K8" t="str">
        <f t="shared" si="2"/>
        <v>C-WAX</v>
      </c>
      <c r="L8" t="str">
        <f t="shared" si="3"/>
        <v>Static Chemical Core</v>
      </c>
    </row>
    <row r="9" spans="1:13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  <c r="J9" t="str">
        <f t="shared" si="1"/>
        <v>Static Chemical Core</v>
      </c>
      <c r="K9" t="str">
        <f t="shared" si="2"/>
        <v>C-HF</v>
      </c>
      <c r="L9" t="str">
        <f t="shared" si="3"/>
        <v>Static Chemical Core</v>
      </c>
    </row>
    <row r="10" spans="1:13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  <c r="J10" t="str">
        <f t="shared" si="1"/>
        <v>Static Chemical Core</v>
      </c>
      <c r="K10" t="str">
        <f t="shared" si="2"/>
        <v>C-LF</v>
      </c>
      <c r="L10" t="str">
        <f t="shared" si="3"/>
        <v>Static Chemical Core</v>
      </c>
    </row>
    <row r="11" spans="1:13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  <c r="J11" t="str">
        <f t="shared" si="1"/>
        <v>Chemical Injection Coupling</v>
      </c>
      <c r="K11" t="str">
        <f t="shared" si="2"/>
        <v>C-D1</v>
      </c>
      <c r="L11" t="str">
        <f t="shared" si="3"/>
        <v>Chemical Injection Coupling</v>
      </c>
    </row>
    <row r="12" spans="1:13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  <c r="J12" t="str">
        <f t="shared" si="1"/>
        <v>Hydraulic Coupling</v>
      </c>
      <c r="K12" t="str">
        <f t="shared" si="2"/>
        <v>C-D2</v>
      </c>
      <c r="L12" t="str">
        <f t="shared" si="3"/>
        <v>Hydraulic Coupling</v>
      </c>
    </row>
    <row r="13" spans="1:13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  <c r="J13" t="str">
        <f t="shared" si="1"/>
        <v>Chemical Injection Coupling</v>
      </c>
      <c r="K13" t="str">
        <f t="shared" si="2"/>
        <v>C-D3</v>
      </c>
      <c r="L13" t="str">
        <f t="shared" si="3"/>
        <v>Chemical Injection Coupling</v>
      </c>
    </row>
    <row r="14" spans="1:13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  <c r="J14" t="str">
        <f t="shared" si="1"/>
        <v>Chemical Injection Coupling</v>
      </c>
      <c r="K14" t="str">
        <f t="shared" si="2"/>
        <v>C-D4</v>
      </c>
      <c r="L14" t="str">
        <f t="shared" si="3"/>
        <v>Chemical Injection Coupling</v>
      </c>
    </row>
    <row r="15" spans="1:13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  <c r="J15" t="str">
        <f t="shared" si="1"/>
        <v>Hydraulic Coupling</v>
      </c>
      <c r="K15" t="str">
        <f t="shared" si="2"/>
        <v>C-D5</v>
      </c>
      <c r="L15" t="str">
        <f t="shared" si="3"/>
        <v>Hydraulic Coupling</v>
      </c>
    </row>
    <row r="16" spans="1:13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  <c r="J16" t="str">
        <f t="shared" si="1"/>
        <v>Chemical Injection Coupling</v>
      </c>
      <c r="K16" t="str">
        <f t="shared" si="2"/>
        <v>C-D6</v>
      </c>
      <c r="L16" t="str">
        <f t="shared" si="3"/>
        <v>Chemical Injection Coupling</v>
      </c>
    </row>
    <row r="17" spans="4:13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  <c r="J17" t="str">
        <f t="shared" si="1"/>
        <v>Hydraulic Coupling</v>
      </c>
      <c r="K17" t="str">
        <f t="shared" si="2"/>
        <v>C-D7</v>
      </c>
      <c r="L17" t="str">
        <f t="shared" si="3"/>
        <v>Hydraulic Coupling</v>
      </c>
    </row>
    <row r="18" spans="4:13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  <c r="J18" t="str">
        <f t="shared" si="1"/>
        <v>Hydraulic Coupling</v>
      </c>
      <c r="K18" t="str">
        <f t="shared" si="2"/>
        <v>C-D8</v>
      </c>
      <c r="L18" t="str">
        <f t="shared" si="3"/>
        <v>Hydraulic Coupling</v>
      </c>
    </row>
    <row r="19" spans="4:13" x14ac:dyDescent="0.25">
      <c r="D19" s="2" t="s">
        <v>3</v>
      </c>
      <c r="E19" s="1" t="s">
        <v>622</v>
      </c>
    </row>
    <row r="20" spans="4:13" x14ac:dyDescent="0.25">
      <c r="D20" s="2" t="s">
        <v>3</v>
      </c>
      <c r="E20" s="1" t="s">
        <v>621</v>
      </c>
      <c r="G20" t="s">
        <v>36</v>
      </c>
      <c r="H20" t="s">
        <v>0</v>
      </c>
      <c r="J20" t="str">
        <f t="shared" ref="J20:J31" si="4">H20</f>
        <v>Static Hydraulic Core</v>
      </c>
      <c r="L20" t="str">
        <f t="shared" ref="L20:L31" si="5">H20</f>
        <v>Static Hydraulic Core</v>
      </c>
      <c r="M20" t="str">
        <f t="shared" ref="M20:M31" si="6">M$2&amp;"-"&amp;$G20</f>
        <v>S-HPA</v>
      </c>
    </row>
    <row r="21" spans="4:13" x14ac:dyDescent="0.25">
      <c r="D21" s="2" t="s">
        <v>3</v>
      </c>
      <c r="E21" s="1" t="s">
        <v>620</v>
      </c>
      <c r="G21" t="s">
        <v>34</v>
      </c>
      <c r="H21" t="s">
        <v>0</v>
      </c>
      <c r="J21" t="str">
        <f t="shared" si="4"/>
        <v>Static Hydraulic Core</v>
      </c>
      <c r="L21" t="str">
        <f t="shared" si="5"/>
        <v>Static Hydraulic Core</v>
      </c>
      <c r="M21" t="str">
        <f t="shared" si="6"/>
        <v>S-HPB</v>
      </c>
    </row>
    <row r="22" spans="4:13" x14ac:dyDescent="0.25">
      <c r="D22" s="2" t="s">
        <v>3</v>
      </c>
      <c r="E22" s="1" t="s">
        <v>619</v>
      </c>
      <c r="G22" t="s">
        <v>586</v>
      </c>
      <c r="H22" t="s">
        <v>0</v>
      </c>
      <c r="J22" t="str">
        <f t="shared" si="4"/>
        <v>Static Hydraulic Core</v>
      </c>
      <c r="L22" t="str">
        <f t="shared" si="5"/>
        <v>Static Hydraulic Core</v>
      </c>
      <c r="M22" t="str">
        <f t="shared" si="6"/>
        <v>S-LFA</v>
      </c>
    </row>
    <row r="23" spans="4:13" x14ac:dyDescent="0.25">
      <c r="D23" s="2" t="s">
        <v>2</v>
      </c>
      <c r="E23" s="1" t="s">
        <v>618</v>
      </c>
      <c r="G23" t="s">
        <v>30</v>
      </c>
      <c r="H23" t="s">
        <v>0</v>
      </c>
      <c r="J23" t="str">
        <f t="shared" si="4"/>
        <v>Static Hydraulic Core</v>
      </c>
      <c r="L23" t="str">
        <f t="shared" si="5"/>
        <v>Static Hydraulic Core</v>
      </c>
      <c r="M23" t="str">
        <f t="shared" si="6"/>
        <v>S-LPB</v>
      </c>
    </row>
    <row r="24" spans="4:13" x14ac:dyDescent="0.25">
      <c r="D24" s="2" t="s">
        <v>1</v>
      </c>
      <c r="E24" s="1" t="s">
        <v>617</v>
      </c>
      <c r="G24" t="s">
        <v>462</v>
      </c>
      <c r="H24" t="s">
        <v>6</v>
      </c>
      <c r="J24" t="str">
        <f t="shared" si="4"/>
        <v>Static Electric Core</v>
      </c>
      <c r="L24" t="str">
        <f t="shared" si="5"/>
        <v>Static Electric Core</v>
      </c>
      <c r="M24" t="str">
        <f t="shared" si="6"/>
        <v>S-PA</v>
      </c>
    </row>
    <row r="25" spans="4:13" x14ac:dyDescent="0.25">
      <c r="D25" s="2" t="s">
        <v>2</v>
      </c>
      <c r="E25" s="1" t="s">
        <v>616</v>
      </c>
      <c r="G25" t="s">
        <v>460</v>
      </c>
      <c r="H25" t="s">
        <v>6</v>
      </c>
      <c r="J25" t="str">
        <f t="shared" si="4"/>
        <v>Static Electric Core</v>
      </c>
      <c r="L25" t="str">
        <f t="shared" si="5"/>
        <v>Static Electric Core</v>
      </c>
      <c r="M25" t="str">
        <f t="shared" si="6"/>
        <v>S-PB</v>
      </c>
    </row>
    <row r="26" spans="4:13" x14ac:dyDescent="0.25">
      <c r="D26" s="2" t="s">
        <v>2</v>
      </c>
      <c r="E26" s="1" t="s">
        <v>615</v>
      </c>
      <c r="G26" t="s">
        <v>26</v>
      </c>
      <c r="H26" t="s">
        <v>1</v>
      </c>
      <c r="J26" t="str">
        <f t="shared" si="4"/>
        <v>Hydraulic Coupling</v>
      </c>
      <c r="L26" t="str">
        <f t="shared" si="5"/>
        <v>Hydraulic Coupling</v>
      </c>
      <c r="M26" t="str">
        <f t="shared" si="6"/>
        <v>S-D1</v>
      </c>
    </row>
    <row r="27" spans="4:13" x14ac:dyDescent="0.25">
      <c r="D27" s="2" t="s">
        <v>1</v>
      </c>
      <c r="E27" s="1" t="s">
        <v>614</v>
      </c>
      <c r="G27" t="s">
        <v>25</v>
      </c>
      <c r="H27" t="s">
        <v>1</v>
      </c>
      <c r="J27" t="str">
        <f t="shared" si="4"/>
        <v>Hydraulic Coupling</v>
      </c>
      <c r="L27" t="str">
        <f t="shared" si="5"/>
        <v>Hydraulic Coupling</v>
      </c>
      <c r="M27" t="str">
        <f t="shared" si="6"/>
        <v>S-D2</v>
      </c>
    </row>
    <row r="28" spans="4:13" x14ac:dyDescent="0.25">
      <c r="D28" s="2" t="s">
        <v>2</v>
      </c>
      <c r="E28" s="1" t="s">
        <v>613</v>
      </c>
      <c r="G28" t="s">
        <v>23</v>
      </c>
      <c r="H28" t="s">
        <v>1</v>
      </c>
      <c r="J28" t="str">
        <f t="shared" si="4"/>
        <v>Hydraulic Coupling</v>
      </c>
      <c r="L28" t="str">
        <f t="shared" si="5"/>
        <v>Hydraulic Coupling</v>
      </c>
      <c r="M28" t="str">
        <f t="shared" si="6"/>
        <v>S-D3</v>
      </c>
    </row>
    <row r="29" spans="4:13" x14ac:dyDescent="0.25">
      <c r="D29" s="2" t="s">
        <v>1</v>
      </c>
      <c r="E29" s="1" t="s">
        <v>612</v>
      </c>
      <c r="G29" t="s">
        <v>21</v>
      </c>
      <c r="H29" t="s">
        <v>1</v>
      </c>
      <c r="J29" t="str">
        <f t="shared" si="4"/>
        <v>Hydraulic Coupling</v>
      </c>
      <c r="L29" t="str">
        <f t="shared" si="5"/>
        <v>Hydraulic Coupling</v>
      </c>
      <c r="M29" t="str">
        <f t="shared" si="6"/>
        <v>S-D4</v>
      </c>
    </row>
    <row r="30" spans="4:13" x14ac:dyDescent="0.25">
      <c r="D30" s="2" t="s">
        <v>1</v>
      </c>
      <c r="E30" s="1" t="s">
        <v>611</v>
      </c>
      <c r="G30" t="s">
        <v>18</v>
      </c>
      <c r="H30" t="s">
        <v>5</v>
      </c>
      <c r="J30" t="str">
        <f t="shared" si="4"/>
        <v>Power/Signal Coupling</v>
      </c>
      <c r="L30" t="str">
        <f t="shared" si="5"/>
        <v>Power/Signal Coupling</v>
      </c>
      <c r="M30" t="str">
        <f t="shared" si="6"/>
        <v>S-D5</v>
      </c>
    </row>
    <row r="31" spans="4:13" x14ac:dyDescent="0.25">
      <c r="D31" s="2" t="s">
        <v>100</v>
      </c>
      <c r="E31" s="1" t="s">
        <v>485</v>
      </c>
      <c r="G31" t="s">
        <v>8</v>
      </c>
      <c r="H31" t="s">
        <v>5</v>
      </c>
      <c r="J31" t="str">
        <f t="shared" si="4"/>
        <v>Power/Signal Coupling</v>
      </c>
      <c r="L31" t="str">
        <f t="shared" si="5"/>
        <v>Power/Signal Coupling</v>
      </c>
      <c r="M31" t="str">
        <f t="shared" si="6"/>
        <v>S-D6</v>
      </c>
    </row>
    <row r="32" spans="4:13" x14ac:dyDescent="0.25">
      <c r="D32" s="2" t="s">
        <v>100</v>
      </c>
      <c r="E32" s="1" t="s">
        <v>567</v>
      </c>
    </row>
    <row r="33" spans="4:5" x14ac:dyDescent="0.25">
      <c r="D33" s="2" t="s">
        <v>100</v>
      </c>
      <c r="E33" s="1" t="s">
        <v>487</v>
      </c>
    </row>
    <row r="34" spans="4:5" x14ac:dyDescent="0.25">
      <c r="D34" s="2" t="s">
        <v>100</v>
      </c>
      <c r="E34" s="1" t="s">
        <v>488</v>
      </c>
    </row>
    <row r="35" spans="4:5" x14ac:dyDescent="0.25">
      <c r="D35" s="2" t="s">
        <v>100</v>
      </c>
      <c r="E35" s="1" t="s">
        <v>566</v>
      </c>
    </row>
    <row r="36" spans="4:5" x14ac:dyDescent="0.25">
      <c r="D36" s="2" t="s">
        <v>100</v>
      </c>
      <c r="E36" s="1" t="s">
        <v>565</v>
      </c>
    </row>
    <row r="37" spans="4:5" x14ac:dyDescent="0.25">
      <c r="D37" s="2" t="s">
        <v>100</v>
      </c>
      <c r="E37" s="1" t="s">
        <v>564</v>
      </c>
    </row>
    <row r="38" spans="4:5" x14ac:dyDescent="0.25">
      <c r="D38" s="2" t="s">
        <v>100</v>
      </c>
      <c r="E38" s="1" t="s">
        <v>486</v>
      </c>
    </row>
    <row r="39" spans="4:5" x14ac:dyDescent="0.25">
      <c r="D39" s="2" t="s">
        <v>100</v>
      </c>
      <c r="E39" s="1" t="s">
        <v>563</v>
      </c>
    </row>
    <row r="40" spans="4:5" x14ac:dyDescent="0.25">
      <c r="D40" s="2" t="s">
        <v>100</v>
      </c>
      <c r="E40" s="1" t="s">
        <v>562</v>
      </c>
    </row>
    <row r="41" spans="4:5" x14ac:dyDescent="0.25">
      <c r="D41" s="2" t="s">
        <v>100</v>
      </c>
      <c r="E41" s="1" t="s">
        <v>561</v>
      </c>
    </row>
    <row r="42" spans="4:5" x14ac:dyDescent="0.25">
      <c r="D42" s="2" t="s">
        <v>100</v>
      </c>
      <c r="E42" s="1" t="s">
        <v>560</v>
      </c>
    </row>
    <row r="43" spans="4:5" x14ac:dyDescent="0.25">
      <c r="D43" s="2" t="s">
        <v>100</v>
      </c>
      <c r="E43" s="1" t="s">
        <v>559</v>
      </c>
    </row>
    <row r="44" spans="4:5" x14ac:dyDescent="0.25">
      <c r="D44" s="2" t="s">
        <v>100</v>
      </c>
      <c r="E44" s="1" t="s">
        <v>558</v>
      </c>
    </row>
    <row r="45" spans="4:5" x14ac:dyDescent="0.25">
      <c r="D45" s="2" t="s">
        <v>100</v>
      </c>
      <c r="E45" s="1" t="s">
        <v>557</v>
      </c>
    </row>
    <row r="46" spans="4:5" x14ac:dyDescent="0.25">
      <c r="D46" s="2" t="s">
        <v>555</v>
      </c>
      <c r="E46" s="1" t="s">
        <v>556</v>
      </c>
    </row>
    <row r="47" spans="4:5" x14ac:dyDescent="0.25">
      <c r="D47" s="2" t="s">
        <v>555</v>
      </c>
      <c r="E47" s="1" t="s">
        <v>554</v>
      </c>
    </row>
    <row r="48" spans="4:5" x14ac:dyDescent="0.25">
      <c r="D48" s="2" t="s">
        <v>555</v>
      </c>
      <c r="E48" s="1" t="s">
        <v>610</v>
      </c>
    </row>
    <row r="49" spans="4:5" x14ac:dyDescent="0.25">
      <c r="D49" s="2" t="s">
        <v>555</v>
      </c>
      <c r="E49" s="1" t="s">
        <v>609</v>
      </c>
    </row>
    <row r="50" spans="4:5" x14ac:dyDescent="0.25">
      <c r="D50" s="2" t="s">
        <v>552</v>
      </c>
      <c r="E50" s="1" t="s">
        <v>553</v>
      </c>
    </row>
    <row r="51" spans="4:5" x14ac:dyDescent="0.25">
      <c r="D51" s="2" t="s">
        <v>552</v>
      </c>
      <c r="E51" s="1" t="s">
        <v>551</v>
      </c>
    </row>
    <row r="52" spans="4:5" x14ac:dyDescent="0.25">
      <c r="D52" s="2" t="s">
        <v>552</v>
      </c>
      <c r="E52" s="1" t="s">
        <v>550</v>
      </c>
    </row>
    <row r="53" spans="4:5" x14ac:dyDescent="0.25">
      <c r="D53" s="2" t="s">
        <v>552</v>
      </c>
      <c r="E53" s="1" t="s">
        <v>549</v>
      </c>
    </row>
    <row r="54" spans="4:5" x14ac:dyDescent="0.25">
      <c r="D54" s="2" t="s">
        <v>552</v>
      </c>
      <c r="E54" s="1" t="s">
        <v>548</v>
      </c>
    </row>
    <row r="55" spans="4:5" x14ac:dyDescent="0.25">
      <c r="D55" s="2" t="s">
        <v>552</v>
      </c>
      <c r="E55" s="1" t="s">
        <v>547</v>
      </c>
    </row>
    <row r="56" spans="4:5" x14ac:dyDescent="0.25">
      <c r="D56" s="2" t="s">
        <v>552</v>
      </c>
      <c r="E56" s="1" t="s">
        <v>546</v>
      </c>
    </row>
    <row r="57" spans="4:5" x14ac:dyDescent="0.25">
      <c r="D57" s="2" t="s">
        <v>552</v>
      </c>
      <c r="E57" s="1" t="s">
        <v>545</v>
      </c>
    </row>
    <row r="58" spans="4:5" x14ac:dyDescent="0.25">
      <c r="D58" s="2" t="s">
        <v>552</v>
      </c>
      <c r="E58" s="1" t="s">
        <v>544</v>
      </c>
    </row>
    <row r="59" spans="4:5" x14ac:dyDescent="0.25">
      <c r="D59" s="2" t="s">
        <v>552</v>
      </c>
      <c r="E59" s="1" t="s">
        <v>543</v>
      </c>
    </row>
    <row r="60" spans="4:5" x14ac:dyDescent="0.25">
      <c r="D60" s="2" t="s">
        <v>552</v>
      </c>
      <c r="E60" s="1" t="s">
        <v>542</v>
      </c>
    </row>
    <row r="61" spans="4:5" x14ac:dyDescent="0.25">
      <c r="D61" s="2" t="s">
        <v>540</v>
      </c>
      <c r="E61" s="1" t="s">
        <v>541</v>
      </c>
    </row>
    <row r="62" spans="4:5" x14ac:dyDescent="0.25">
      <c r="D62" s="2" t="s">
        <v>540</v>
      </c>
      <c r="E62" s="1" t="s">
        <v>539</v>
      </c>
    </row>
    <row r="63" spans="4:5" x14ac:dyDescent="0.25">
      <c r="D63" s="2" t="s">
        <v>66</v>
      </c>
      <c r="E63" s="1" t="s">
        <v>536</v>
      </c>
    </row>
    <row r="64" spans="4:5" x14ac:dyDescent="0.25">
      <c r="D64" s="2" t="s">
        <v>66</v>
      </c>
      <c r="E64" s="1" t="s">
        <v>535</v>
      </c>
    </row>
    <row r="65" spans="4:5" x14ac:dyDescent="0.25">
      <c r="D65" s="2" t="s">
        <v>66</v>
      </c>
      <c r="E65" s="1" t="s">
        <v>534</v>
      </c>
    </row>
    <row r="66" spans="4:5" x14ac:dyDescent="0.25">
      <c r="D66" s="2" t="s">
        <v>66</v>
      </c>
      <c r="E66" s="1" t="s">
        <v>533</v>
      </c>
    </row>
    <row r="67" spans="4:5" x14ac:dyDescent="0.25">
      <c r="D67" s="2" t="s">
        <v>66</v>
      </c>
      <c r="E67" s="1" t="s">
        <v>532</v>
      </c>
    </row>
    <row r="68" spans="4:5" x14ac:dyDescent="0.25">
      <c r="D68" s="2" t="s">
        <v>66</v>
      </c>
      <c r="E68" s="1" t="s">
        <v>531</v>
      </c>
    </row>
    <row r="69" spans="4:5" x14ac:dyDescent="0.25">
      <c r="D69" s="2" t="s">
        <v>66</v>
      </c>
      <c r="E69" s="1" t="s">
        <v>530</v>
      </c>
    </row>
    <row r="70" spans="4:5" x14ac:dyDescent="0.25">
      <c r="D70" s="2" t="s">
        <v>66</v>
      </c>
      <c r="E70" s="1" t="s">
        <v>529</v>
      </c>
    </row>
    <row r="71" spans="4:5" x14ac:dyDescent="0.25">
      <c r="D71" s="2" t="s">
        <v>66</v>
      </c>
      <c r="E71" s="1" t="s">
        <v>528</v>
      </c>
    </row>
    <row r="72" spans="4:5" x14ac:dyDescent="0.25">
      <c r="D72" s="2" t="s">
        <v>66</v>
      </c>
      <c r="E72" s="1" t="s">
        <v>527</v>
      </c>
    </row>
    <row r="73" spans="4:5" x14ac:dyDescent="0.25">
      <c r="D73" s="2" t="s">
        <v>66</v>
      </c>
      <c r="E73" s="1" t="s">
        <v>526</v>
      </c>
    </row>
    <row r="74" spans="4:5" x14ac:dyDescent="0.25">
      <c r="D74" s="2" t="s">
        <v>66</v>
      </c>
      <c r="E74" s="1" t="s">
        <v>525</v>
      </c>
    </row>
    <row r="75" spans="4:5" x14ac:dyDescent="0.25">
      <c r="D75" s="2" t="s">
        <v>66</v>
      </c>
      <c r="E75" s="1" t="s">
        <v>524</v>
      </c>
    </row>
  </sheetData>
  <dataValidations count="2">
    <dataValidation type="list" allowBlank="1" showInputMessage="1" showErrorMessage="1" sqref="H3:H4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54"/>
  <sheetViews>
    <sheetView topLeftCell="A15" workbookViewId="0">
      <selection activeCell="D3" sqref="D3:E54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P17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549</v>
      </c>
    </row>
    <row r="39" spans="4:5" x14ac:dyDescent="0.25">
      <c r="D39" s="2" t="s">
        <v>552</v>
      </c>
      <c r="E39" s="1" t="s">
        <v>548</v>
      </c>
    </row>
    <row r="40" spans="4:5" x14ac:dyDescent="0.25">
      <c r="D40" s="2" t="s">
        <v>552</v>
      </c>
      <c r="E40" s="1" t="s">
        <v>547</v>
      </c>
    </row>
    <row r="41" spans="4:5" x14ac:dyDescent="0.25">
      <c r="D41" s="2" t="s">
        <v>552</v>
      </c>
      <c r="E41" s="1" t="s">
        <v>546</v>
      </c>
    </row>
    <row r="42" spans="4:5" x14ac:dyDescent="0.25">
      <c r="D42" s="2" t="s">
        <v>552</v>
      </c>
      <c r="E42" s="1" t="s">
        <v>545</v>
      </c>
    </row>
    <row r="43" spans="4:5" x14ac:dyDescent="0.25">
      <c r="D43" s="2" t="s">
        <v>552</v>
      </c>
      <c r="E43" s="1" t="s">
        <v>544</v>
      </c>
    </row>
    <row r="44" spans="4:5" x14ac:dyDescent="0.25">
      <c r="D44" s="2" t="s">
        <v>552</v>
      </c>
      <c r="E44" s="1" t="s">
        <v>543</v>
      </c>
    </row>
    <row r="45" spans="4:5" x14ac:dyDescent="0.25">
      <c r="D45" s="2" t="s">
        <v>552</v>
      </c>
      <c r="E45" s="1" t="s">
        <v>542</v>
      </c>
    </row>
    <row r="46" spans="4:5" x14ac:dyDescent="0.25">
      <c r="D46" s="2" t="s">
        <v>540</v>
      </c>
      <c r="E46" s="1" t="s">
        <v>541</v>
      </c>
    </row>
    <row r="47" spans="4:5" x14ac:dyDescent="0.25">
      <c r="D47" s="2" t="s">
        <v>540</v>
      </c>
      <c r="E47" s="1" t="s">
        <v>539</v>
      </c>
    </row>
    <row r="48" spans="4:5" x14ac:dyDescent="0.25">
      <c r="D48" s="2" t="s">
        <v>66</v>
      </c>
      <c r="E48" s="1" t="s">
        <v>536</v>
      </c>
    </row>
    <row r="49" spans="4:5" x14ac:dyDescent="0.25">
      <c r="D49" s="2" t="s">
        <v>66</v>
      </c>
      <c r="E49" s="1" t="s">
        <v>607</v>
      </c>
    </row>
    <row r="50" spans="4:5" x14ac:dyDescent="0.25">
      <c r="D50" s="2" t="s">
        <v>66</v>
      </c>
      <c r="E50" s="1" t="s">
        <v>606</v>
      </c>
    </row>
    <row r="51" spans="4:5" x14ac:dyDescent="0.25">
      <c r="D51" s="2" t="s">
        <v>66</v>
      </c>
      <c r="E51" s="1" t="s">
        <v>605</v>
      </c>
    </row>
    <row r="52" spans="4:5" x14ac:dyDescent="0.25">
      <c r="D52" s="2" t="s">
        <v>66</v>
      </c>
      <c r="E52" s="1" t="s">
        <v>604</v>
      </c>
    </row>
    <row r="53" spans="4:5" x14ac:dyDescent="0.25">
      <c r="D53" s="2" t="s">
        <v>66</v>
      </c>
      <c r="E53" s="1" t="s">
        <v>603</v>
      </c>
    </row>
    <row r="54" spans="4:5" x14ac:dyDescent="0.25">
      <c r="D54" s="2" t="s">
        <v>66</v>
      </c>
      <c r="E54" s="1" t="s">
        <v>602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63"/>
  <sheetViews>
    <sheetView topLeftCell="A40" workbookViewId="0">
      <selection activeCell="C46" sqref="C46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P18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555</v>
      </c>
      <c r="E36" s="1" t="s">
        <v>610</v>
      </c>
    </row>
    <row r="37" spans="4:5" x14ac:dyDescent="0.25">
      <c r="D37" s="2" t="s">
        <v>555</v>
      </c>
      <c r="E37" s="1" t="s">
        <v>609</v>
      </c>
    </row>
    <row r="38" spans="4:5" x14ac:dyDescent="0.25">
      <c r="D38" s="2" t="s">
        <v>552</v>
      </c>
      <c r="E38" s="1" t="s">
        <v>553</v>
      </c>
    </row>
    <row r="39" spans="4:5" x14ac:dyDescent="0.25">
      <c r="D39" s="2" t="s">
        <v>552</v>
      </c>
      <c r="E39" s="1" t="s">
        <v>551</v>
      </c>
    </row>
    <row r="40" spans="4:5" x14ac:dyDescent="0.25">
      <c r="D40" s="2" t="s">
        <v>552</v>
      </c>
      <c r="E40" s="1" t="s">
        <v>550</v>
      </c>
    </row>
    <row r="41" spans="4:5" x14ac:dyDescent="0.25">
      <c r="D41" s="2" t="s">
        <v>552</v>
      </c>
      <c r="E41" s="1" t="s">
        <v>549</v>
      </c>
    </row>
    <row r="42" spans="4:5" x14ac:dyDescent="0.25">
      <c r="D42" s="2" t="s">
        <v>552</v>
      </c>
      <c r="E42" s="1" t="s">
        <v>548</v>
      </c>
    </row>
    <row r="43" spans="4:5" x14ac:dyDescent="0.25">
      <c r="D43" s="2" t="s">
        <v>552</v>
      </c>
      <c r="E43" s="1" t="s">
        <v>547</v>
      </c>
    </row>
    <row r="44" spans="4:5" x14ac:dyDescent="0.25">
      <c r="D44" s="2" t="s">
        <v>552</v>
      </c>
      <c r="E44" s="1" t="s">
        <v>546</v>
      </c>
    </row>
    <row r="45" spans="4:5" x14ac:dyDescent="0.25">
      <c r="D45" s="2" t="s">
        <v>552</v>
      </c>
      <c r="E45" s="1" t="s">
        <v>545</v>
      </c>
    </row>
    <row r="46" spans="4:5" x14ac:dyDescent="0.25">
      <c r="D46" s="2" t="s">
        <v>552</v>
      </c>
      <c r="E46" s="1" t="s">
        <v>544</v>
      </c>
    </row>
    <row r="47" spans="4:5" x14ac:dyDescent="0.25">
      <c r="D47" s="2" t="s">
        <v>552</v>
      </c>
      <c r="E47" s="1" t="s">
        <v>543</v>
      </c>
    </row>
    <row r="48" spans="4:5" x14ac:dyDescent="0.25">
      <c r="D48" s="2" t="s">
        <v>552</v>
      </c>
      <c r="E48" s="1" t="s">
        <v>542</v>
      </c>
    </row>
    <row r="49" spans="4:5" x14ac:dyDescent="0.25">
      <c r="D49" s="2" t="s">
        <v>540</v>
      </c>
      <c r="E49" s="1" t="s">
        <v>541</v>
      </c>
    </row>
    <row r="50" spans="4:5" x14ac:dyDescent="0.25">
      <c r="D50" s="2" t="s">
        <v>540</v>
      </c>
      <c r="E50" s="1" t="s">
        <v>539</v>
      </c>
    </row>
    <row r="51" spans="4:5" x14ac:dyDescent="0.25">
      <c r="D51" s="2" t="s">
        <v>66</v>
      </c>
      <c r="E51" s="1" t="s">
        <v>536</v>
      </c>
    </row>
    <row r="52" spans="4:5" x14ac:dyDescent="0.25">
      <c r="D52" s="2" t="s">
        <v>66</v>
      </c>
      <c r="E52" s="1" t="s">
        <v>535</v>
      </c>
    </row>
    <row r="53" spans="4:5" x14ac:dyDescent="0.25">
      <c r="D53" s="2" t="s">
        <v>66</v>
      </c>
      <c r="E53" s="1" t="s">
        <v>534</v>
      </c>
    </row>
    <row r="54" spans="4:5" x14ac:dyDescent="0.25">
      <c r="D54" s="2" t="s">
        <v>66</v>
      </c>
      <c r="E54" s="1" t="s">
        <v>533</v>
      </c>
    </row>
    <row r="55" spans="4:5" x14ac:dyDescent="0.25">
      <c r="D55" s="2" t="s">
        <v>66</v>
      </c>
      <c r="E55" s="1" t="s">
        <v>532</v>
      </c>
    </row>
    <row r="56" spans="4:5" x14ac:dyDescent="0.25">
      <c r="D56" s="2" t="s">
        <v>66</v>
      </c>
      <c r="E56" s="1" t="s">
        <v>531</v>
      </c>
    </row>
    <row r="57" spans="4:5" x14ac:dyDescent="0.25">
      <c r="D57" s="2" t="s">
        <v>66</v>
      </c>
      <c r="E57" s="1" t="s">
        <v>530</v>
      </c>
    </row>
    <row r="58" spans="4:5" x14ac:dyDescent="0.25">
      <c r="D58" s="2" t="s">
        <v>66</v>
      </c>
      <c r="E58" s="1" t="s">
        <v>529</v>
      </c>
    </row>
    <row r="59" spans="4:5" x14ac:dyDescent="0.25">
      <c r="D59" s="2" t="s">
        <v>66</v>
      </c>
      <c r="E59" s="1" t="s">
        <v>528</v>
      </c>
    </row>
    <row r="60" spans="4:5" x14ac:dyDescent="0.25">
      <c r="D60" s="2" t="s">
        <v>66</v>
      </c>
      <c r="E60" s="1" t="s">
        <v>527</v>
      </c>
    </row>
    <row r="61" spans="4:5" x14ac:dyDescent="0.25">
      <c r="D61" s="2" t="s">
        <v>66</v>
      </c>
      <c r="E61" s="1" t="s">
        <v>526</v>
      </c>
    </row>
    <row r="62" spans="4:5" x14ac:dyDescent="0.25">
      <c r="D62" s="2" t="s">
        <v>66</v>
      </c>
      <c r="E62" s="1" t="s">
        <v>525</v>
      </c>
    </row>
    <row r="63" spans="4:5" x14ac:dyDescent="0.25">
      <c r="D63" s="2" t="s">
        <v>66</v>
      </c>
      <c r="E63" s="1" t="s">
        <v>524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62"/>
  <sheetViews>
    <sheetView topLeftCell="A21" workbookViewId="0">
      <selection activeCell="D3" sqref="D3:E62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Production</v>
      </c>
      <c r="C3" s="2" t="str">
        <f ca="1">MID(CELL("filename",A1),FIND("]",CELL("filename",A1))+1,255)</f>
        <v>P19</v>
      </c>
      <c r="D3" s="2" t="s">
        <v>279</v>
      </c>
      <c r="G3" s="6" t="s">
        <v>592</v>
      </c>
      <c r="H3" t="s">
        <v>0</v>
      </c>
      <c r="I3" t="str">
        <f t="shared" ref="I3:I18" si="0">I$2&amp;"-"&amp;$G3</f>
        <v>M-PIVO</v>
      </c>
      <c r="J3" s="6"/>
      <c r="K3" s="6"/>
    </row>
    <row r="4" spans="1:11" x14ac:dyDescent="0.25">
      <c r="D4" s="2" t="s">
        <v>64</v>
      </c>
      <c r="G4" s="6" t="s">
        <v>591</v>
      </c>
      <c r="H4" t="s">
        <v>0</v>
      </c>
      <c r="I4" t="str">
        <f t="shared" si="0"/>
        <v>M-PIVC</v>
      </c>
      <c r="J4" s="6"/>
      <c r="K4" s="6"/>
    </row>
    <row r="5" spans="1:11" x14ac:dyDescent="0.25">
      <c r="D5" s="2" t="s">
        <v>1</v>
      </c>
      <c r="E5" s="1" t="s">
        <v>211</v>
      </c>
      <c r="G5" s="6" t="s">
        <v>28</v>
      </c>
      <c r="H5" t="s">
        <v>0</v>
      </c>
      <c r="I5" t="str">
        <f t="shared" si="0"/>
        <v>M-THV</v>
      </c>
    </row>
    <row r="6" spans="1:11" x14ac:dyDescent="0.25">
      <c r="D6" s="2" t="s">
        <v>1</v>
      </c>
      <c r="E6" s="1" t="s">
        <v>210</v>
      </c>
      <c r="G6" s="6" t="s">
        <v>27</v>
      </c>
      <c r="H6" t="s">
        <v>0</v>
      </c>
      <c r="I6" t="str">
        <f t="shared" si="0"/>
        <v>M-PHV</v>
      </c>
    </row>
    <row r="7" spans="1:11" x14ac:dyDescent="0.25">
      <c r="D7" s="2" t="s">
        <v>1</v>
      </c>
      <c r="E7" s="1" t="s">
        <v>209</v>
      </c>
      <c r="G7" t="s">
        <v>589</v>
      </c>
      <c r="H7" t="s">
        <v>3</v>
      </c>
      <c r="I7" t="str">
        <f t="shared" si="0"/>
        <v>M-SCALE</v>
      </c>
    </row>
    <row r="8" spans="1:11" x14ac:dyDescent="0.25">
      <c r="D8" s="2" t="s">
        <v>1</v>
      </c>
      <c r="E8" s="1" t="s">
        <v>208</v>
      </c>
      <c r="G8" t="s">
        <v>29</v>
      </c>
      <c r="H8" t="s">
        <v>3</v>
      </c>
      <c r="I8" t="str">
        <f t="shared" si="0"/>
        <v>M-WAX</v>
      </c>
    </row>
    <row r="9" spans="1:11" x14ac:dyDescent="0.25">
      <c r="D9" s="2" t="s">
        <v>5</v>
      </c>
      <c r="E9" s="1" t="s">
        <v>207</v>
      </c>
      <c r="G9" t="s">
        <v>588</v>
      </c>
      <c r="H9" t="s">
        <v>3</v>
      </c>
      <c r="I9" t="str">
        <f t="shared" si="0"/>
        <v>M-HF</v>
      </c>
    </row>
    <row r="10" spans="1:11" x14ac:dyDescent="0.25">
      <c r="D10" s="2" t="s">
        <v>5</v>
      </c>
      <c r="E10" s="1" t="s">
        <v>206</v>
      </c>
      <c r="G10" t="s">
        <v>587</v>
      </c>
      <c r="H10" t="s">
        <v>3</v>
      </c>
      <c r="I10" t="str">
        <f t="shared" si="0"/>
        <v>M-LF</v>
      </c>
    </row>
    <row r="11" spans="1:11" x14ac:dyDescent="0.25">
      <c r="D11" s="2" t="s">
        <v>2</v>
      </c>
      <c r="E11" s="1" t="s">
        <v>585</v>
      </c>
      <c r="G11" t="s">
        <v>26</v>
      </c>
      <c r="H11" t="s">
        <v>2</v>
      </c>
      <c r="I11" t="str">
        <f t="shared" si="0"/>
        <v>M-D1</v>
      </c>
    </row>
    <row r="12" spans="1:11" x14ac:dyDescent="0.25">
      <c r="D12" s="2" t="s">
        <v>1</v>
      </c>
      <c r="E12" s="1" t="s">
        <v>584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583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2</v>
      </c>
      <c r="E14" s="1" t="s">
        <v>582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1</v>
      </c>
      <c r="E15" s="1" t="s">
        <v>581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2</v>
      </c>
      <c r="E16" s="1" t="s">
        <v>580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579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</v>
      </c>
      <c r="E18" s="1" t="s">
        <v>578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485</v>
      </c>
    </row>
    <row r="20" spans="4:11" x14ac:dyDescent="0.25">
      <c r="D20" s="2" t="s">
        <v>100</v>
      </c>
      <c r="E20" s="1" t="s">
        <v>567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487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488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566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565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564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486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563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562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561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560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559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558</v>
      </c>
    </row>
    <row r="33" spans="4:5" x14ac:dyDescent="0.25">
      <c r="D33" s="2" t="s">
        <v>100</v>
      </c>
      <c r="E33" s="1" t="s">
        <v>557</v>
      </c>
    </row>
    <row r="34" spans="4:5" x14ac:dyDescent="0.25">
      <c r="D34" s="2" t="s">
        <v>555</v>
      </c>
      <c r="E34" s="1" t="s">
        <v>556</v>
      </c>
    </row>
    <row r="35" spans="4:5" x14ac:dyDescent="0.25">
      <c r="D35" s="2" t="s">
        <v>555</v>
      </c>
      <c r="E35" s="1" t="s">
        <v>554</v>
      </c>
    </row>
    <row r="36" spans="4:5" x14ac:dyDescent="0.25">
      <c r="D36" s="2" t="s">
        <v>552</v>
      </c>
      <c r="E36" s="1" t="s">
        <v>553</v>
      </c>
    </row>
    <row r="37" spans="4:5" x14ac:dyDescent="0.25">
      <c r="D37" s="2" t="s">
        <v>552</v>
      </c>
      <c r="E37" s="1" t="s">
        <v>551</v>
      </c>
    </row>
    <row r="38" spans="4:5" x14ac:dyDescent="0.25">
      <c r="D38" s="2" t="s">
        <v>552</v>
      </c>
      <c r="E38" s="1" t="s">
        <v>550</v>
      </c>
    </row>
    <row r="39" spans="4:5" x14ac:dyDescent="0.25">
      <c r="D39" s="2" t="s">
        <v>552</v>
      </c>
      <c r="E39" s="1" t="s">
        <v>549</v>
      </c>
    </row>
    <row r="40" spans="4:5" x14ac:dyDescent="0.25">
      <c r="D40" s="2" t="s">
        <v>552</v>
      </c>
      <c r="E40" s="1" t="s">
        <v>548</v>
      </c>
    </row>
    <row r="41" spans="4:5" x14ac:dyDescent="0.25">
      <c r="D41" s="2" t="s">
        <v>552</v>
      </c>
      <c r="E41" s="1" t="s">
        <v>547</v>
      </c>
    </row>
    <row r="42" spans="4:5" x14ac:dyDescent="0.25">
      <c r="D42" s="2" t="s">
        <v>552</v>
      </c>
      <c r="E42" s="1" t="s">
        <v>546</v>
      </c>
    </row>
    <row r="43" spans="4:5" x14ac:dyDescent="0.25">
      <c r="D43" s="2" t="s">
        <v>552</v>
      </c>
      <c r="E43" s="1" t="s">
        <v>545</v>
      </c>
    </row>
    <row r="44" spans="4:5" x14ac:dyDescent="0.25">
      <c r="D44" s="2" t="s">
        <v>552</v>
      </c>
      <c r="E44" s="1" t="s">
        <v>544</v>
      </c>
    </row>
    <row r="45" spans="4:5" x14ac:dyDescent="0.25">
      <c r="D45" s="2" t="s">
        <v>552</v>
      </c>
      <c r="E45" s="1" t="s">
        <v>543</v>
      </c>
    </row>
    <row r="46" spans="4:5" x14ac:dyDescent="0.25">
      <c r="D46" s="2" t="s">
        <v>552</v>
      </c>
      <c r="E46" s="1" t="s">
        <v>542</v>
      </c>
    </row>
    <row r="47" spans="4:5" x14ac:dyDescent="0.25">
      <c r="D47" s="2" t="s">
        <v>540</v>
      </c>
      <c r="E47" s="1" t="s">
        <v>541</v>
      </c>
    </row>
    <row r="48" spans="4:5" x14ac:dyDescent="0.25">
      <c r="D48" s="2" t="s">
        <v>540</v>
      </c>
      <c r="E48" s="1" t="s">
        <v>539</v>
      </c>
    </row>
    <row r="49" spans="4:5" x14ac:dyDescent="0.25">
      <c r="D49" s="2" t="s">
        <v>538</v>
      </c>
      <c r="E49" s="1" t="s">
        <v>537</v>
      </c>
    </row>
    <row r="50" spans="4:5" x14ac:dyDescent="0.25">
      <c r="D50" s="2" t="s">
        <v>66</v>
      </c>
      <c r="E50" s="1" t="s">
        <v>536</v>
      </c>
    </row>
    <row r="51" spans="4:5" x14ac:dyDescent="0.25">
      <c r="D51" s="2" t="s">
        <v>66</v>
      </c>
      <c r="E51" s="1" t="s">
        <v>535</v>
      </c>
    </row>
    <row r="52" spans="4:5" x14ac:dyDescent="0.25">
      <c r="D52" s="2" t="s">
        <v>66</v>
      </c>
      <c r="E52" s="1" t="s">
        <v>534</v>
      </c>
    </row>
    <row r="53" spans="4:5" x14ac:dyDescent="0.25">
      <c r="D53" s="2" t="s">
        <v>66</v>
      </c>
      <c r="E53" s="1" t="s">
        <v>533</v>
      </c>
    </row>
    <row r="54" spans="4:5" x14ac:dyDescent="0.25">
      <c r="D54" s="2" t="s">
        <v>66</v>
      </c>
      <c r="E54" s="1" t="s">
        <v>532</v>
      </c>
    </row>
    <row r="55" spans="4:5" x14ac:dyDescent="0.25">
      <c r="D55" s="2" t="s">
        <v>66</v>
      </c>
      <c r="E55" s="1" t="s">
        <v>531</v>
      </c>
    </row>
    <row r="56" spans="4:5" x14ac:dyDescent="0.25">
      <c r="D56" s="2" t="s">
        <v>66</v>
      </c>
      <c r="E56" s="1" t="s">
        <v>530</v>
      </c>
    </row>
    <row r="57" spans="4:5" x14ac:dyDescent="0.25">
      <c r="D57" s="2" t="s">
        <v>66</v>
      </c>
      <c r="E57" s="1" t="s">
        <v>529</v>
      </c>
    </row>
    <row r="58" spans="4:5" x14ac:dyDescent="0.25">
      <c r="D58" s="2" t="s">
        <v>66</v>
      </c>
      <c r="E58" s="1" t="s">
        <v>528</v>
      </c>
    </row>
    <row r="59" spans="4:5" x14ac:dyDescent="0.25">
      <c r="D59" s="2" t="s">
        <v>66</v>
      </c>
      <c r="E59" s="1" t="s">
        <v>527</v>
      </c>
    </row>
    <row r="60" spans="4:5" x14ac:dyDescent="0.25">
      <c r="D60" s="2" t="s">
        <v>66</v>
      </c>
      <c r="E60" s="1" t="s">
        <v>526</v>
      </c>
    </row>
    <row r="61" spans="4:5" x14ac:dyDescent="0.25">
      <c r="D61" s="2" t="s">
        <v>66</v>
      </c>
      <c r="E61" s="1" t="s">
        <v>525</v>
      </c>
    </row>
    <row r="62" spans="4:5" x14ac:dyDescent="0.25">
      <c r="D62" s="2" t="s">
        <v>66</v>
      </c>
      <c r="E62" s="1" t="s">
        <v>524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60"/>
  <sheetViews>
    <sheetView topLeftCell="A2" workbookViewId="0">
      <selection activeCell="E60" sqref="D3:E60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590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WP14</v>
      </c>
      <c r="D3" s="2" t="s">
        <v>64</v>
      </c>
      <c r="G3" s="6" t="s">
        <v>592</v>
      </c>
      <c r="H3" t="s">
        <v>0</v>
      </c>
      <c r="J3" s="6"/>
      <c r="K3" s="6"/>
    </row>
    <row r="4" spans="1:11" x14ac:dyDescent="0.25">
      <c r="D4" s="2" t="s">
        <v>1</v>
      </c>
      <c r="E4" s="1" t="s">
        <v>211</v>
      </c>
      <c r="G4" s="6" t="s">
        <v>591</v>
      </c>
      <c r="H4" t="s">
        <v>0</v>
      </c>
      <c r="J4" s="6"/>
      <c r="K4" s="6"/>
    </row>
    <row r="5" spans="1:11" x14ac:dyDescent="0.25">
      <c r="D5" s="2" t="s">
        <v>1</v>
      </c>
      <c r="E5" s="1" t="s">
        <v>210</v>
      </c>
      <c r="G5" s="6" t="s">
        <v>28</v>
      </c>
      <c r="H5" t="s">
        <v>0</v>
      </c>
    </row>
    <row r="6" spans="1:11" x14ac:dyDescent="0.25">
      <c r="D6" s="2" t="s">
        <v>1</v>
      </c>
      <c r="E6" s="1" t="s">
        <v>209</v>
      </c>
      <c r="G6" s="6" t="s">
        <v>27</v>
      </c>
      <c r="H6" t="s">
        <v>0</v>
      </c>
    </row>
    <row r="7" spans="1:11" x14ac:dyDescent="0.25">
      <c r="D7" s="2" t="s">
        <v>1</v>
      </c>
      <c r="E7" s="1" t="s">
        <v>208</v>
      </c>
      <c r="G7" t="s">
        <v>589</v>
      </c>
      <c r="H7" t="s">
        <v>3</v>
      </c>
    </row>
    <row r="8" spans="1:11" x14ac:dyDescent="0.25">
      <c r="D8" s="2" t="s">
        <v>5</v>
      </c>
      <c r="E8" s="1" t="s">
        <v>207</v>
      </c>
      <c r="G8" t="s">
        <v>29</v>
      </c>
      <c r="H8" t="s">
        <v>3</v>
      </c>
    </row>
    <row r="9" spans="1:11" x14ac:dyDescent="0.25">
      <c r="D9" s="2" t="s">
        <v>5</v>
      </c>
      <c r="E9" s="1" t="s">
        <v>206</v>
      </c>
      <c r="G9" t="s">
        <v>588</v>
      </c>
      <c r="H9" t="s">
        <v>3</v>
      </c>
    </row>
    <row r="10" spans="1:11" x14ac:dyDescent="0.25">
      <c r="D10" s="2" t="s">
        <v>2</v>
      </c>
      <c r="E10" s="1" t="s">
        <v>585</v>
      </c>
      <c r="G10" t="s">
        <v>587</v>
      </c>
      <c r="H10" t="s">
        <v>3</v>
      </c>
    </row>
    <row r="11" spans="1:11" x14ac:dyDescent="0.25">
      <c r="D11" s="2" t="s">
        <v>1</v>
      </c>
      <c r="E11" s="1" t="s">
        <v>584</v>
      </c>
      <c r="G11" t="s">
        <v>26</v>
      </c>
      <c r="H11" t="s">
        <v>2</v>
      </c>
      <c r="I11" t="str">
        <f t="shared" ref="I11:I18" si="0">I$2&amp;"-"&amp;$G11</f>
        <v>M-D1</v>
      </c>
    </row>
    <row r="12" spans="1:11" x14ac:dyDescent="0.25">
      <c r="D12" s="2" t="s">
        <v>2</v>
      </c>
      <c r="E12" s="1" t="s">
        <v>583</v>
      </c>
      <c r="G12" t="s">
        <v>25</v>
      </c>
      <c r="H12" t="s">
        <v>1</v>
      </c>
      <c r="I12" t="str">
        <f t="shared" si="0"/>
        <v>M-D2</v>
      </c>
    </row>
    <row r="13" spans="1:11" x14ac:dyDescent="0.25">
      <c r="D13" s="2" t="s">
        <v>2</v>
      </c>
      <c r="E13" s="1" t="s">
        <v>582</v>
      </c>
      <c r="G13" t="s">
        <v>23</v>
      </c>
      <c r="H13" t="s">
        <v>2</v>
      </c>
      <c r="I13" t="str">
        <f t="shared" si="0"/>
        <v>M-D3</v>
      </c>
    </row>
    <row r="14" spans="1:11" x14ac:dyDescent="0.25">
      <c r="D14" s="2" t="s">
        <v>1</v>
      </c>
      <c r="E14" s="1" t="s">
        <v>581</v>
      </c>
      <c r="G14" t="s">
        <v>21</v>
      </c>
      <c r="H14" t="s">
        <v>2</v>
      </c>
      <c r="I14" t="str">
        <f t="shared" si="0"/>
        <v>M-D4</v>
      </c>
    </row>
    <row r="15" spans="1:11" x14ac:dyDescent="0.25">
      <c r="D15" s="2" t="s">
        <v>2</v>
      </c>
      <c r="E15" s="1" t="s">
        <v>580</v>
      </c>
      <c r="G15" t="s">
        <v>18</v>
      </c>
      <c r="H15" t="s">
        <v>1</v>
      </c>
      <c r="I15" t="str">
        <f t="shared" si="0"/>
        <v>M-D5</v>
      </c>
    </row>
    <row r="16" spans="1:11" x14ac:dyDescent="0.25">
      <c r="D16" s="2" t="s">
        <v>1</v>
      </c>
      <c r="E16" s="1" t="s">
        <v>579</v>
      </c>
      <c r="G16" t="s">
        <v>8</v>
      </c>
      <c r="H16" t="s">
        <v>2</v>
      </c>
      <c r="I16" t="str">
        <f t="shared" si="0"/>
        <v>M-D6</v>
      </c>
    </row>
    <row r="17" spans="4:11" x14ac:dyDescent="0.25">
      <c r="D17" s="2" t="s">
        <v>1</v>
      </c>
      <c r="E17" s="1" t="s">
        <v>578</v>
      </c>
      <c r="G17" t="s">
        <v>17</v>
      </c>
      <c r="H17" t="s">
        <v>1</v>
      </c>
      <c r="I17" t="str">
        <f t="shared" si="0"/>
        <v>M-D7</v>
      </c>
    </row>
    <row r="18" spans="4:11" x14ac:dyDescent="0.25">
      <c r="D18" s="2" t="s">
        <v>100</v>
      </c>
      <c r="E18" s="1" t="s">
        <v>485</v>
      </c>
      <c r="G18" t="s">
        <v>15</v>
      </c>
      <c r="H18" t="s">
        <v>1</v>
      </c>
      <c r="I18" t="str">
        <f t="shared" si="0"/>
        <v>M-D8</v>
      </c>
    </row>
    <row r="19" spans="4:11" x14ac:dyDescent="0.25">
      <c r="D19" s="2" t="s">
        <v>100</v>
      </c>
      <c r="E19" s="1" t="s">
        <v>567</v>
      </c>
    </row>
    <row r="20" spans="4:11" x14ac:dyDescent="0.25">
      <c r="D20" s="2" t="s">
        <v>100</v>
      </c>
      <c r="E20" s="1" t="s">
        <v>487</v>
      </c>
      <c r="G20" t="s">
        <v>36</v>
      </c>
      <c r="H20" t="s">
        <v>0</v>
      </c>
      <c r="J20" t="str">
        <f t="shared" ref="J20:J31" si="1">H20</f>
        <v>Static Hydraulic Core</v>
      </c>
      <c r="K20" t="str">
        <f t="shared" ref="K20:K31" si="2">K$2&amp;"-"&amp;$G20</f>
        <v>S-HPA</v>
      </c>
    </row>
    <row r="21" spans="4:11" x14ac:dyDescent="0.25">
      <c r="D21" s="2" t="s">
        <v>100</v>
      </c>
      <c r="E21" s="1" t="s">
        <v>488</v>
      </c>
      <c r="G21" t="s">
        <v>34</v>
      </c>
      <c r="H21" t="s">
        <v>0</v>
      </c>
      <c r="J21" t="str">
        <f t="shared" si="1"/>
        <v>Static Hydraulic Core</v>
      </c>
      <c r="K21" t="str">
        <f t="shared" si="2"/>
        <v>S-HPB</v>
      </c>
    </row>
    <row r="22" spans="4:11" x14ac:dyDescent="0.25">
      <c r="D22" s="2" t="s">
        <v>100</v>
      </c>
      <c r="E22" s="1" t="s">
        <v>566</v>
      </c>
      <c r="G22" t="s">
        <v>586</v>
      </c>
      <c r="H22" t="s">
        <v>0</v>
      </c>
      <c r="J22" t="str">
        <f t="shared" si="1"/>
        <v>Static Hydraulic Core</v>
      </c>
      <c r="K22" t="str">
        <f t="shared" si="2"/>
        <v>S-LFA</v>
      </c>
    </row>
    <row r="23" spans="4:11" x14ac:dyDescent="0.25">
      <c r="D23" s="2" t="s">
        <v>100</v>
      </c>
      <c r="E23" s="1" t="s">
        <v>565</v>
      </c>
      <c r="G23" t="s">
        <v>30</v>
      </c>
      <c r="H23" t="s">
        <v>0</v>
      </c>
      <c r="J23" t="str">
        <f t="shared" si="1"/>
        <v>Static Hydraulic Core</v>
      </c>
      <c r="K23" t="str">
        <f t="shared" si="2"/>
        <v>S-LPB</v>
      </c>
    </row>
    <row r="24" spans="4:11" x14ac:dyDescent="0.25">
      <c r="D24" s="2" t="s">
        <v>100</v>
      </c>
      <c r="E24" s="1" t="s">
        <v>564</v>
      </c>
      <c r="G24" t="s">
        <v>462</v>
      </c>
      <c r="H24" t="s">
        <v>6</v>
      </c>
      <c r="J24" t="str">
        <f t="shared" si="1"/>
        <v>Static Electric Core</v>
      </c>
      <c r="K24" t="str">
        <f t="shared" si="2"/>
        <v>S-PA</v>
      </c>
    </row>
    <row r="25" spans="4:11" x14ac:dyDescent="0.25">
      <c r="D25" s="2" t="s">
        <v>100</v>
      </c>
      <c r="E25" s="1" t="s">
        <v>486</v>
      </c>
      <c r="G25" t="s">
        <v>460</v>
      </c>
      <c r="H25" t="s">
        <v>6</v>
      </c>
      <c r="J25" t="str">
        <f t="shared" si="1"/>
        <v>Static Electric Core</v>
      </c>
      <c r="K25" t="str">
        <f t="shared" si="2"/>
        <v>S-PB</v>
      </c>
    </row>
    <row r="26" spans="4:11" x14ac:dyDescent="0.25">
      <c r="D26" s="2" t="s">
        <v>100</v>
      </c>
      <c r="E26" s="1" t="s">
        <v>563</v>
      </c>
      <c r="G26" t="s">
        <v>26</v>
      </c>
      <c r="H26" t="s">
        <v>1</v>
      </c>
      <c r="J26" t="str">
        <f t="shared" si="1"/>
        <v>Hydraulic Coupling</v>
      </c>
      <c r="K26" t="str">
        <f t="shared" si="2"/>
        <v>S-D1</v>
      </c>
    </row>
    <row r="27" spans="4:11" x14ac:dyDescent="0.25">
      <c r="D27" s="2" t="s">
        <v>100</v>
      </c>
      <c r="E27" s="1" t="s">
        <v>562</v>
      </c>
      <c r="G27" t="s">
        <v>25</v>
      </c>
      <c r="H27" t="s">
        <v>1</v>
      </c>
      <c r="J27" t="str">
        <f t="shared" si="1"/>
        <v>Hydraulic Coupling</v>
      </c>
      <c r="K27" t="str">
        <f t="shared" si="2"/>
        <v>S-D2</v>
      </c>
    </row>
    <row r="28" spans="4:11" x14ac:dyDescent="0.25">
      <c r="D28" s="2" t="s">
        <v>100</v>
      </c>
      <c r="E28" s="1" t="s">
        <v>561</v>
      </c>
      <c r="G28" t="s">
        <v>23</v>
      </c>
      <c r="H28" t="s">
        <v>1</v>
      </c>
      <c r="J28" t="str">
        <f t="shared" si="1"/>
        <v>Hydraulic Coupling</v>
      </c>
      <c r="K28" t="str">
        <f t="shared" si="2"/>
        <v>S-D3</v>
      </c>
    </row>
    <row r="29" spans="4:11" x14ac:dyDescent="0.25">
      <c r="D29" s="2" t="s">
        <v>100</v>
      </c>
      <c r="E29" s="1" t="s">
        <v>560</v>
      </c>
      <c r="G29" t="s">
        <v>21</v>
      </c>
      <c r="H29" t="s">
        <v>1</v>
      </c>
      <c r="J29" t="str">
        <f t="shared" si="1"/>
        <v>Hydraulic Coupling</v>
      </c>
      <c r="K29" t="str">
        <f t="shared" si="2"/>
        <v>S-D4</v>
      </c>
    </row>
    <row r="30" spans="4:11" x14ac:dyDescent="0.25">
      <c r="D30" s="2" t="s">
        <v>100</v>
      </c>
      <c r="E30" s="1" t="s">
        <v>559</v>
      </c>
      <c r="G30" t="s">
        <v>18</v>
      </c>
      <c r="H30" t="s">
        <v>5</v>
      </c>
      <c r="J30" t="str">
        <f t="shared" si="1"/>
        <v>Power/Signal Coupling</v>
      </c>
      <c r="K30" t="str">
        <f t="shared" si="2"/>
        <v>S-D5</v>
      </c>
    </row>
    <row r="31" spans="4:11" x14ac:dyDescent="0.25">
      <c r="D31" s="2" t="s">
        <v>100</v>
      </c>
      <c r="E31" s="1" t="s">
        <v>558</v>
      </c>
      <c r="G31" t="s">
        <v>8</v>
      </c>
      <c r="H31" t="s">
        <v>5</v>
      </c>
      <c r="J31" t="str">
        <f t="shared" si="1"/>
        <v>Power/Signal Coupling</v>
      </c>
      <c r="K31" t="str">
        <f t="shared" si="2"/>
        <v>S-D6</v>
      </c>
    </row>
    <row r="32" spans="4:11" x14ac:dyDescent="0.25">
      <c r="D32" s="2" t="s">
        <v>100</v>
      </c>
      <c r="E32" s="1" t="s">
        <v>557</v>
      </c>
    </row>
    <row r="33" spans="4:5" x14ac:dyDescent="0.25">
      <c r="D33" s="2" t="s">
        <v>555</v>
      </c>
      <c r="E33" s="1" t="s">
        <v>556</v>
      </c>
    </row>
    <row r="34" spans="4:5" x14ac:dyDescent="0.25">
      <c r="D34" s="2" t="s">
        <v>555</v>
      </c>
      <c r="E34" s="1" t="s">
        <v>554</v>
      </c>
    </row>
    <row r="35" spans="4:5" x14ac:dyDescent="0.25">
      <c r="D35" s="2" t="s">
        <v>552</v>
      </c>
      <c r="E35" s="1" t="s">
        <v>553</v>
      </c>
    </row>
    <row r="36" spans="4:5" x14ac:dyDescent="0.25">
      <c r="D36" s="2" t="s">
        <v>552</v>
      </c>
      <c r="E36" s="1" t="s">
        <v>551</v>
      </c>
    </row>
    <row r="37" spans="4:5" x14ac:dyDescent="0.25">
      <c r="D37" s="2" t="s">
        <v>552</v>
      </c>
      <c r="E37" s="1" t="s">
        <v>550</v>
      </c>
    </row>
    <row r="38" spans="4:5" x14ac:dyDescent="0.25">
      <c r="D38" s="2" t="s">
        <v>552</v>
      </c>
      <c r="E38" s="1" t="s">
        <v>549</v>
      </c>
    </row>
    <row r="39" spans="4:5" x14ac:dyDescent="0.25">
      <c r="D39" s="2" t="s">
        <v>552</v>
      </c>
      <c r="E39" s="1" t="s">
        <v>548</v>
      </c>
    </row>
    <row r="40" spans="4:5" x14ac:dyDescent="0.25">
      <c r="D40" s="2" t="s">
        <v>552</v>
      </c>
      <c r="E40" s="1" t="s">
        <v>547</v>
      </c>
    </row>
    <row r="41" spans="4:5" x14ac:dyDescent="0.25">
      <c r="D41" s="2" t="s">
        <v>552</v>
      </c>
      <c r="E41" s="1" t="s">
        <v>546</v>
      </c>
    </row>
    <row r="42" spans="4:5" x14ac:dyDescent="0.25">
      <c r="D42" s="2" t="s">
        <v>552</v>
      </c>
      <c r="E42" s="1" t="s">
        <v>545</v>
      </c>
    </row>
    <row r="43" spans="4:5" x14ac:dyDescent="0.25">
      <c r="D43" s="2" t="s">
        <v>552</v>
      </c>
      <c r="E43" s="1" t="s">
        <v>544</v>
      </c>
    </row>
    <row r="44" spans="4:5" x14ac:dyDescent="0.25">
      <c r="D44" s="2" t="s">
        <v>552</v>
      </c>
      <c r="E44" s="1" t="s">
        <v>543</v>
      </c>
    </row>
    <row r="45" spans="4:5" x14ac:dyDescent="0.25">
      <c r="D45" s="2" t="s">
        <v>552</v>
      </c>
      <c r="E45" s="1" t="s">
        <v>542</v>
      </c>
    </row>
    <row r="46" spans="4:5" x14ac:dyDescent="0.25">
      <c r="D46" s="2" t="s">
        <v>540</v>
      </c>
      <c r="E46" s="1" t="s">
        <v>541</v>
      </c>
    </row>
    <row r="47" spans="4:5" x14ac:dyDescent="0.25">
      <c r="D47" s="2" t="s">
        <v>540</v>
      </c>
      <c r="E47" s="1" t="s">
        <v>539</v>
      </c>
    </row>
    <row r="48" spans="4:5" x14ac:dyDescent="0.25">
      <c r="D48" s="2" t="s">
        <v>66</v>
      </c>
      <c r="E48" s="1" t="s">
        <v>536</v>
      </c>
    </row>
    <row r="49" spans="4:5" x14ac:dyDescent="0.25">
      <c r="D49" s="2" t="s">
        <v>66</v>
      </c>
      <c r="E49" s="1" t="s">
        <v>535</v>
      </c>
    </row>
    <row r="50" spans="4:5" x14ac:dyDescent="0.25">
      <c r="D50" s="2" t="s">
        <v>66</v>
      </c>
      <c r="E50" s="1" t="s">
        <v>534</v>
      </c>
    </row>
    <row r="51" spans="4:5" x14ac:dyDescent="0.25">
      <c r="D51" s="2" t="s">
        <v>66</v>
      </c>
      <c r="E51" s="1" t="s">
        <v>533</v>
      </c>
    </row>
    <row r="52" spans="4:5" x14ac:dyDescent="0.25">
      <c r="D52" s="2" t="s">
        <v>66</v>
      </c>
      <c r="E52" s="1" t="s">
        <v>532</v>
      </c>
    </row>
    <row r="53" spans="4:5" x14ac:dyDescent="0.25">
      <c r="D53" s="2" t="s">
        <v>66</v>
      </c>
      <c r="E53" s="1" t="s">
        <v>531</v>
      </c>
    </row>
    <row r="54" spans="4:5" x14ac:dyDescent="0.25">
      <c r="D54" s="2" t="s">
        <v>66</v>
      </c>
      <c r="E54" s="1" t="s">
        <v>530</v>
      </c>
    </row>
    <row r="55" spans="4:5" x14ac:dyDescent="0.25">
      <c r="D55" s="2" t="s">
        <v>66</v>
      </c>
      <c r="E55" s="1" t="s">
        <v>529</v>
      </c>
    </row>
    <row r="56" spans="4:5" x14ac:dyDescent="0.25">
      <c r="D56" s="2" t="s">
        <v>66</v>
      </c>
      <c r="E56" s="1" t="s">
        <v>528</v>
      </c>
    </row>
    <row r="57" spans="4:5" x14ac:dyDescent="0.25">
      <c r="D57" s="2" t="s">
        <v>66</v>
      </c>
      <c r="E57" s="1" t="s">
        <v>527</v>
      </c>
    </row>
    <row r="58" spans="4:5" x14ac:dyDescent="0.25">
      <c r="D58" s="2" t="s">
        <v>66</v>
      </c>
      <c r="E58" s="1" t="s">
        <v>526</v>
      </c>
    </row>
    <row r="59" spans="4:5" x14ac:dyDescent="0.25">
      <c r="D59" s="2" t="s">
        <v>66</v>
      </c>
      <c r="E59" s="1" t="s">
        <v>525</v>
      </c>
    </row>
    <row r="60" spans="4:5" x14ac:dyDescent="0.25">
      <c r="D60" s="2" t="s">
        <v>66</v>
      </c>
      <c r="E60" s="1" t="s">
        <v>524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5"/>
  <sheetViews>
    <sheetView workbookViewId="0">
      <selection activeCell="D3" sqref="D3:E3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1.5703125" bestFit="1" customWidth="1"/>
    <col min="9" max="9" width="8.14062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W11</v>
      </c>
      <c r="D3" s="2" t="s">
        <v>64</v>
      </c>
      <c r="G3" s="6" t="s">
        <v>485</v>
      </c>
      <c r="H3" t="s">
        <v>0</v>
      </c>
      <c r="I3" t="str">
        <f t="shared" ref="I3:I18" si="0">I$2&amp;"-"&amp;$G3</f>
        <v>S-SCSSV</v>
      </c>
      <c r="J3" s="6"/>
      <c r="K3" s="6"/>
    </row>
    <row r="4" spans="1:11" x14ac:dyDescent="0.25">
      <c r="D4" s="2" t="s">
        <v>1</v>
      </c>
      <c r="E4" s="1" t="s">
        <v>211</v>
      </c>
      <c r="G4" s="6" t="s">
        <v>633</v>
      </c>
      <c r="H4" t="s">
        <v>0</v>
      </c>
      <c r="I4" t="str">
        <f t="shared" si="0"/>
        <v>S-UIMV</v>
      </c>
      <c r="J4" s="6"/>
      <c r="K4" s="6"/>
    </row>
    <row r="5" spans="1:11" x14ac:dyDescent="0.25">
      <c r="D5" s="2" t="s">
        <v>1</v>
      </c>
      <c r="E5" s="1" t="s">
        <v>210</v>
      </c>
      <c r="G5" s="6" t="s">
        <v>487</v>
      </c>
      <c r="H5" t="s">
        <v>0</v>
      </c>
      <c r="I5" t="str">
        <f t="shared" si="0"/>
        <v>S-AMV</v>
      </c>
    </row>
    <row r="6" spans="1:11" x14ac:dyDescent="0.25">
      <c r="D6" s="2" t="s">
        <v>1</v>
      </c>
      <c r="E6" s="1" t="s">
        <v>209</v>
      </c>
      <c r="G6" s="6" t="s">
        <v>486</v>
      </c>
      <c r="H6" t="s">
        <v>0</v>
      </c>
      <c r="I6" t="str">
        <f t="shared" si="0"/>
        <v>S-XOV</v>
      </c>
    </row>
    <row r="7" spans="1:11" x14ac:dyDescent="0.25">
      <c r="D7" s="2" t="s">
        <v>1</v>
      </c>
      <c r="E7" s="1" t="s">
        <v>208</v>
      </c>
      <c r="G7" t="s">
        <v>632</v>
      </c>
      <c r="H7" t="s">
        <v>0</v>
      </c>
      <c r="I7" t="str">
        <f t="shared" si="0"/>
        <v>S-IWV</v>
      </c>
    </row>
    <row r="8" spans="1:11" x14ac:dyDescent="0.25">
      <c r="D8" s="2" t="s">
        <v>1</v>
      </c>
      <c r="E8" s="1" t="s">
        <v>207</v>
      </c>
      <c r="G8" t="s">
        <v>26</v>
      </c>
      <c r="H8" t="s">
        <v>1</v>
      </c>
      <c r="I8" t="str">
        <f t="shared" si="0"/>
        <v>S-D1</v>
      </c>
    </row>
    <row r="9" spans="1:11" x14ac:dyDescent="0.25">
      <c r="D9" s="2" t="s">
        <v>5</v>
      </c>
      <c r="E9" s="1" t="s">
        <v>206</v>
      </c>
      <c r="G9" t="s">
        <v>25</v>
      </c>
      <c r="H9" t="s">
        <v>1</v>
      </c>
      <c r="I9" t="str">
        <f t="shared" si="0"/>
        <v>S-D2</v>
      </c>
    </row>
    <row r="10" spans="1:11" x14ac:dyDescent="0.25">
      <c r="D10" s="2" t="s">
        <v>5</v>
      </c>
      <c r="E10" s="1" t="s">
        <v>205</v>
      </c>
      <c r="G10" t="s">
        <v>23</v>
      </c>
      <c r="H10" t="s">
        <v>1</v>
      </c>
      <c r="I10" t="str">
        <f t="shared" si="0"/>
        <v>S-D3</v>
      </c>
    </row>
    <row r="11" spans="1:11" x14ac:dyDescent="0.25">
      <c r="D11" s="2" t="s">
        <v>5</v>
      </c>
      <c r="E11" s="1" t="s">
        <v>204</v>
      </c>
      <c r="G11" t="s">
        <v>21</v>
      </c>
      <c r="H11" t="s">
        <v>1</v>
      </c>
      <c r="I11" t="str">
        <f t="shared" si="0"/>
        <v>S-D4</v>
      </c>
    </row>
    <row r="12" spans="1:11" x14ac:dyDescent="0.25">
      <c r="D12" s="2" t="s">
        <v>100</v>
      </c>
      <c r="E12" s="1" t="s">
        <v>485</v>
      </c>
      <c r="G12" t="s">
        <v>18</v>
      </c>
      <c r="H12" t="s">
        <v>1</v>
      </c>
      <c r="I12" t="str">
        <f t="shared" si="0"/>
        <v>S-D5</v>
      </c>
    </row>
    <row r="13" spans="1:11" x14ac:dyDescent="0.25">
      <c r="D13" s="2" t="s">
        <v>100</v>
      </c>
      <c r="E13" s="1" t="s">
        <v>633</v>
      </c>
      <c r="G13" t="s">
        <v>630</v>
      </c>
      <c r="H13" t="s">
        <v>6</v>
      </c>
      <c r="I13" t="str">
        <f t="shared" si="0"/>
        <v>S-PDT</v>
      </c>
    </row>
    <row r="14" spans="1:11" x14ac:dyDescent="0.25">
      <c r="D14" s="2" t="s">
        <v>100</v>
      </c>
      <c r="E14" s="1" t="s">
        <v>487</v>
      </c>
      <c r="G14" t="s">
        <v>628</v>
      </c>
      <c r="H14" t="s">
        <v>6</v>
      </c>
      <c r="I14" t="str">
        <f t="shared" si="0"/>
        <v>S-PT1</v>
      </c>
    </row>
    <row r="15" spans="1:11" x14ac:dyDescent="0.25">
      <c r="D15" s="2" t="s">
        <v>100</v>
      </c>
      <c r="E15" s="1" t="s">
        <v>632</v>
      </c>
      <c r="G15" t="s">
        <v>627</v>
      </c>
      <c r="H15" t="s">
        <v>6</v>
      </c>
      <c r="I15" t="str">
        <f t="shared" si="0"/>
        <v>S-PT2</v>
      </c>
    </row>
    <row r="16" spans="1:11" x14ac:dyDescent="0.25">
      <c r="D16" s="2" t="s">
        <v>100</v>
      </c>
      <c r="E16" s="1" t="s">
        <v>631</v>
      </c>
      <c r="G16" t="s">
        <v>8</v>
      </c>
      <c r="H16" t="s">
        <v>5</v>
      </c>
      <c r="I16" t="str">
        <f t="shared" si="0"/>
        <v>S-D6</v>
      </c>
    </row>
    <row r="17" spans="4:9" x14ac:dyDescent="0.25">
      <c r="D17" s="2" t="s">
        <v>100</v>
      </c>
      <c r="E17" s="1" t="s">
        <v>564</v>
      </c>
      <c r="G17" t="s">
        <v>17</v>
      </c>
      <c r="H17" t="s">
        <v>5</v>
      </c>
      <c r="I17" t="str">
        <f t="shared" si="0"/>
        <v>S-D7</v>
      </c>
    </row>
    <row r="18" spans="4:9" x14ac:dyDescent="0.25">
      <c r="D18" s="2" t="s">
        <v>100</v>
      </c>
      <c r="E18" s="1" t="s">
        <v>486</v>
      </c>
      <c r="G18" t="s">
        <v>15</v>
      </c>
      <c r="H18" t="s">
        <v>5</v>
      </c>
      <c r="I18" t="str">
        <f t="shared" si="0"/>
        <v>S-D8</v>
      </c>
    </row>
    <row r="19" spans="4:9" x14ac:dyDescent="0.25">
      <c r="D19" s="2" t="s">
        <v>555</v>
      </c>
      <c r="E19" s="1" t="s">
        <v>556</v>
      </c>
    </row>
    <row r="20" spans="4:9" x14ac:dyDescent="0.25">
      <c r="D20" s="2" t="s">
        <v>552</v>
      </c>
      <c r="E20" s="1" t="s">
        <v>630</v>
      </c>
    </row>
    <row r="21" spans="4:9" x14ac:dyDescent="0.25">
      <c r="D21" s="2" t="s">
        <v>552</v>
      </c>
      <c r="E21" s="1" t="s">
        <v>629</v>
      </c>
    </row>
    <row r="22" spans="4:9" x14ac:dyDescent="0.25">
      <c r="D22" s="2" t="s">
        <v>552</v>
      </c>
      <c r="E22" s="1" t="s">
        <v>628</v>
      </c>
    </row>
    <row r="23" spans="4:9" x14ac:dyDescent="0.25">
      <c r="D23" s="2" t="s">
        <v>552</v>
      </c>
      <c r="E23" s="1" t="s">
        <v>627</v>
      </c>
    </row>
    <row r="24" spans="4:9" x14ac:dyDescent="0.25">
      <c r="D24" s="2" t="s">
        <v>66</v>
      </c>
      <c r="E24" s="1" t="s">
        <v>626</v>
      </c>
    </row>
    <row r="25" spans="4:9" x14ac:dyDescent="0.25">
      <c r="D25" s="2" t="s">
        <v>66</v>
      </c>
      <c r="E25" s="1" t="s">
        <v>535</v>
      </c>
    </row>
    <row r="26" spans="4:9" x14ac:dyDescent="0.25">
      <c r="D26" s="2" t="s">
        <v>66</v>
      </c>
      <c r="E26" s="1" t="s">
        <v>625</v>
      </c>
    </row>
    <row r="27" spans="4:9" x14ac:dyDescent="0.25">
      <c r="D27" s="2" t="s">
        <v>66</v>
      </c>
      <c r="E27" s="1" t="s">
        <v>624</v>
      </c>
    </row>
    <row r="28" spans="4:9" x14ac:dyDescent="0.25">
      <c r="D28" s="2" t="s">
        <v>66</v>
      </c>
      <c r="E28" s="1" t="s">
        <v>623</v>
      </c>
    </row>
    <row r="29" spans="4:9" x14ac:dyDescent="0.25">
      <c r="D29" s="2" t="s">
        <v>66</v>
      </c>
      <c r="E29" s="1" t="s">
        <v>525</v>
      </c>
    </row>
    <row r="30" spans="4:9" x14ac:dyDescent="0.25">
      <c r="D30" s="2" t="s">
        <v>66</v>
      </c>
      <c r="E30" s="1" t="s">
        <v>526</v>
      </c>
    </row>
    <row r="31" spans="4:9" x14ac:dyDescent="0.25">
      <c r="D31" s="2" t="s">
        <v>66</v>
      </c>
      <c r="E31" s="1" t="s">
        <v>524</v>
      </c>
    </row>
    <row r="32" spans="4:9" x14ac:dyDescent="0.25">
      <c r="D32" s="2" t="s">
        <v>66</v>
      </c>
      <c r="E32" s="1" t="s">
        <v>532</v>
      </c>
    </row>
    <row r="33" spans="4:5" x14ac:dyDescent="0.25">
      <c r="D33" s="2" t="s">
        <v>66</v>
      </c>
      <c r="E33" s="1" t="s">
        <v>531</v>
      </c>
    </row>
    <row r="34" spans="4:5" x14ac:dyDescent="0.25">
      <c r="D34" s="2" t="s">
        <v>66</v>
      </c>
      <c r="E34" s="1" t="s">
        <v>530</v>
      </c>
    </row>
    <row r="35" spans="4:5" x14ac:dyDescent="0.25">
      <c r="D35" s="2" t="s">
        <v>66</v>
      </c>
      <c r="E35" s="1" t="s">
        <v>534</v>
      </c>
    </row>
  </sheetData>
  <dataValidations count="2">
    <dataValidation type="list" allowBlank="1" showInputMessage="1" showErrorMessage="1" sqref="H3:H31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66"/>
  <sheetViews>
    <sheetView topLeftCell="A25" workbookViewId="0">
      <selection activeCell="L32" sqref="L32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28515625" bestFit="1" customWidth="1"/>
    <col min="8" max="8" width="26.28515625" bestFit="1" customWidth="1"/>
    <col min="9" max="9" width="8.7109375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664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W110</v>
      </c>
      <c r="D3" s="2" t="s">
        <v>64</v>
      </c>
      <c r="G3" t="s">
        <v>26</v>
      </c>
      <c r="H3" t="s">
        <v>1</v>
      </c>
      <c r="I3" t="str">
        <f t="shared" ref="I3:I10" si="0">I$2&amp;"-"&amp;$G3</f>
        <v>X-D1</v>
      </c>
    </row>
    <row r="4" spans="1:11" x14ac:dyDescent="0.25">
      <c r="D4" s="2" t="s">
        <v>1</v>
      </c>
      <c r="E4" s="1" t="s">
        <v>211</v>
      </c>
      <c r="G4" t="s">
        <v>25</v>
      </c>
      <c r="H4" t="s">
        <v>1</v>
      </c>
      <c r="I4" t="str">
        <f t="shared" si="0"/>
        <v>X-D2</v>
      </c>
    </row>
    <row r="5" spans="1:11" x14ac:dyDescent="0.25">
      <c r="D5" s="2" t="s">
        <v>1</v>
      </c>
      <c r="E5" s="1" t="s">
        <v>210</v>
      </c>
      <c r="G5" t="s">
        <v>23</v>
      </c>
      <c r="H5" t="s">
        <v>1</v>
      </c>
      <c r="I5" t="str">
        <f t="shared" si="0"/>
        <v>X-D3</v>
      </c>
    </row>
    <row r="6" spans="1:11" x14ac:dyDescent="0.25">
      <c r="D6" s="2" t="s">
        <v>1</v>
      </c>
      <c r="E6" s="1" t="s">
        <v>209</v>
      </c>
      <c r="G6" t="s">
        <v>21</v>
      </c>
      <c r="H6" t="s">
        <v>1</v>
      </c>
      <c r="I6" t="str">
        <f t="shared" si="0"/>
        <v>X-D4</v>
      </c>
    </row>
    <row r="7" spans="1:11" x14ac:dyDescent="0.25">
      <c r="D7" s="2" t="s">
        <v>1</v>
      </c>
      <c r="E7" s="1" t="s">
        <v>208</v>
      </c>
      <c r="G7" t="s">
        <v>18</v>
      </c>
      <c r="H7" t="s">
        <v>1</v>
      </c>
      <c r="I7" t="str">
        <f t="shared" si="0"/>
        <v>X-D5</v>
      </c>
    </row>
    <row r="8" spans="1:11" x14ac:dyDescent="0.25">
      <c r="D8" s="2" t="s">
        <v>5</v>
      </c>
      <c r="E8" s="1" t="s">
        <v>207</v>
      </c>
      <c r="G8" t="s">
        <v>8</v>
      </c>
      <c r="H8" t="s">
        <v>1</v>
      </c>
      <c r="I8" t="str">
        <f t="shared" si="0"/>
        <v>X-D6</v>
      </c>
    </row>
    <row r="9" spans="1:11" x14ac:dyDescent="0.25">
      <c r="D9" s="2" t="s">
        <v>5</v>
      </c>
      <c r="E9" s="1" t="s">
        <v>206</v>
      </c>
      <c r="G9" t="s">
        <v>17</v>
      </c>
      <c r="H9" t="s">
        <v>1</v>
      </c>
      <c r="I9" t="str">
        <f t="shared" si="0"/>
        <v>X-D7</v>
      </c>
    </row>
    <row r="10" spans="1:11" x14ac:dyDescent="0.25">
      <c r="D10" s="2" t="s">
        <v>1</v>
      </c>
      <c r="E10" s="1" t="s">
        <v>663</v>
      </c>
      <c r="G10" t="s">
        <v>15</v>
      </c>
      <c r="H10" t="s">
        <v>1</v>
      </c>
      <c r="I10" t="str">
        <f t="shared" si="0"/>
        <v>X-D8</v>
      </c>
    </row>
    <row r="11" spans="1:11" x14ac:dyDescent="0.25">
      <c r="D11" s="2" t="s">
        <v>1</v>
      </c>
      <c r="E11" s="1" t="s">
        <v>662</v>
      </c>
    </row>
    <row r="12" spans="1:11" x14ac:dyDescent="0.25">
      <c r="D12" s="2" t="s">
        <v>1</v>
      </c>
      <c r="E12" s="1" t="s">
        <v>661</v>
      </c>
      <c r="G12" t="s">
        <v>36</v>
      </c>
      <c r="H12" t="s">
        <v>0</v>
      </c>
      <c r="J12" t="str">
        <f t="shared" ref="J12:J23" si="1">H12</f>
        <v>Static Hydraulic Core</v>
      </c>
      <c r="K12" t="str">
        <f t="shared" ref="K12:K23" si="2">K$2&amp;"-"&amp;$G12</f>
        <v>S-HPA</v>
      </c>
    </row>
    <row r="13" spans="1:11" x14ac:dyDescent="0.25">
      <c r="D13" s="2" t="s">
        <v>1</v>
      </c>
      <c r="E13" s="1" t="s">
        <v>660</v>
      </c>
      <c r="G13" t="s">
        <v>34</v>
      </c>
      <c r="H13" t="s">
        <v>0</v>
      </c>
      <c r="J13" t="str">
        <f t="shared" si="1"/>
        <v>Static Hydraulic Core</v>
      </c>
      <c r="K13" t="str">
        <f t="shared" si="2"/>
        <v>S-HPB</v>
      </c>
    </row>
    <row r="14" spans="1:11" x14ac:dyDescent="0.25">
      <c r="D14" s="2" t="s">
        <v>1</v>
      </c>
      <c r="E14" s="1" t="s">
        <v>659</v>
      </c>
      <c r="G14" t="s">
        <v>586</v>
      </c>
      <c r="H14" t="s">
        <v>0</v>
      </c>
      <c r="J14" t="str">
        <f t="shared" si="1"/>
        <v>Static Hydraulic Core</v>
      </c>
      <c r="K14" t="str">
        <f t="shared" si="2"/>
        <v>S-LFA</v>
      </c>
    </row>
    <row r="15" spans="1:11" x14ac:dyDescent="0.25">
      <c r="D15" s="2" t="s">
        <v>1</v>
      </c>
      <c r="E15" s="1" t="s">
        <v>658</v>
      </c>
      <c r="G15" t="s">
        <v>30</v>
      </c>
      <c r="H15" t="s">
        <v>0</v>
      </c>
      <c r="J15" t="str">
        <f t="shared" si="1"/>
        <v>Static Hydraulic Core</v>
      </c>
      <c r="K15" t="str">
        <f t="shared" si="2"/>
        <v>S-LPB</v>
      </c>
    </row>
    <row r="16" spans="1:11" x14ac:dyDescent="0.25">
      <c r="D16" s="2" t="s">
        <v>1</v>
      </c>
      <c r="E16" s="1" t="s">
        <v>657</v>
      </c>
      <c r="G16" t="s">
        <v>462</v>
      </c>
      <c r="H16" t="s">
        <v>6</v>
      </c>
      <c r="J16" t="str">
        <f t="shared" si="1"/>
        <v>Static Electric Core</v>
      </c>
      <c r="K16" t="str">
        <f t="shared" si="2"/>
        <v>S-PA</v>
      </c>
    </row>
    <row r="17" spans="4:11" x14ac:dyDescent="0.25">
      <c r="D17" s="2" t="s">
        <v>1</v>
      </c>
      <c r="E17" s="1" t="s">
        <v>656</v>
      </c>
      <c r="G17" t="s">
        <v>460</v>
      </c>
      <c r="H17" t="s">
        <v>6</v>
      </c>
      <c r="J17" t="str">
        <f t="shared" si="1"/>
        <v>Static Electric Core</v>
      </c>
      <c r="K17" t="str">
        <f t="shared" si="2"/>
        <v>S-PB</v>
      </c>
    </row>
    <row r="18" spans="4:11" x14ac:dyDescent="0.25">
      <c r="D18" s="2" t="s">
        <v>5</v>
      </c>
      <c r="E18" s="1" t="s">
        <v>655</v>
      </c>
      <c r="G18" t="s">
        <v>26</v>
      </c>
      <c r="H18" t="s">
        <v>1</v>
      </c>
      <c r="J18" t="str">
        <f t="shared" si="1"/>
        <v>Hydraulic Coupling</v>
      </c>
      <c r="K18" t="str">
        <f t="shared" si="2"/>
        <v>S-D1</v>
      </c>
    </row>
    <row r="19" spans="4:11" x14ac:dyDescent="0.25">
      <c r="D19" s="2" t="s">
        <v>1</v>
      </c>
      <c r="E19" s="1" t="s">
        <v>654</v>
      </c>
      <c r="G19" t="s">
        <v>25</v>
      </c>
      <c r="H19" t="s">
        <v>1</v>
      </c>
      <c r="J19" t="str">
        <f t="shared" si="1"/>
        <v>Hydraulic Coupling</v>
      </c>
      <c r="K19" t="str">
        <f t="shared" si="2"/>
        <v>S-D2</v>
      </c>
    </row>
    <row r="20" spans="4:11" x14ac:dyDescent="0.25">
      <c r="D20" s="2" t="s">
        <v>1</v>
      </c>
      <c r="E20" s="1" t="s">
        <v>652</v>
      </c>
      <c r="G20" t="s">
        <v>23</v>
      </c>
      <c r="H20" t="s">
        <v>1</v>
      </c>
      <c r="J20" t="str">
        <f t="shared" si="1"/>
        <v>Hydraulic Coupling</v>
      </c>
      <c r="K20" t="str">
        <f t="shared" si="2"/>
        <v>S-D3</v>
      </c>
    </row>
    <row r="21" spans="4:11" x14ac:dyDescent="0.25">
      <c r="D21" s="2" t="s">
        <v>5</v>
      </c>
      <c r="E21" s="1" t="s">
        <v>651</v>
      </c>
      <c r="G21" t="s">
        <v>21</v>
      </c>
      <c r="H21" t="s">
        <v>1</v>
      </c>
      <c r="J21" t="str">
        <f t="shared" si="1"/>
        <v>Hydraulic Coupling</v>
      </c>
      <c r="K21" t="str">
        <f t="shared" si="2"/>
        <v>S-D4</v>
      </c>
    </row>
    <row r="22" spans="4:11" x14ac:dyDescent="0.25">
      <c r="D22" s="2" t="s">
        <v>1</v>
      </c>
      <c r="E22" s="1" t="s">
        <v>650</v>
      </c>
      <c r="G22" t="s">
        <v>18</v>
      </c>
      <c r="H22" t="s">
        <v>5</v>
      </c>
      <c r="J22" t="str">
        <f t="shared" si="1"/>
        <v>Power/Signal Coupling</v>
      </c>
      <c r="K22" t="str">
        <f t="shared" si="2"/>
        <v>S-D5</v>
      </c>
    </row>
    <row r="23" spans="4:11" x14ac:dyDescent="0.25">
      <c r="D23" s="2" t="s">
        <v>1</v>
      </c>
      <c r="E23" s="1" t="s">
        <v>649</v>
      </c>
      <c r="G23" t="s">
        <v>8</v>
      </c>
      <c r="H23" t="s">
        <v>5</v>
      </c>
      <c r="J23" t="str">
        <f t="shared" si="1"/>
        <v>Power/Signal Coupling</v>
      </c>
      <c r="K23" t="str">
        <f t="shared" si="2"/>
        <v>S-D6</v>
      </c>
    </row>
    <row r="24" spans="4:11" x14ac:dyDescent="0.25">
      <c r="D24" s="2" t="s">
        <v>1</v>
      </c>
      <c r="E24" s="1" t="s">
        <v>648</v>
      </c>
    </row>
    <row r="25" spans="4:11" x14ac:dyDescent="0.25">
      <c r="D25" s="2" t="s">
        <v>1</v>
      </c>
      <c r="E25" s="1" t="s">
        <v>647</v>
      </c>
      <c r="I25" t="s">
        <v>653</v>
      </c>
    </row>
    <row r="26" spans="4:11" x14ac:dyDescent="0.25">
      <c r="D26" s="2" t="s">
        <v>1</v>
      </c>
      <c r="E26" s="1" t="s">
        <v>646</v>
      </c>
      <c r="G26" t="s">
        <v>26</v>
      </c>
      <c r="H26" t="s">
        <v>5</v>
      </c>
      <c r="I26" t="str">
        <f t="shared" ref="I26:I40" si="3">I$25&amp;"-"&amp;$G26</f>
        <v>F-D1</v>
      </c>
    </row>
    <row r="27" spans="4:11" x14ac:dyDescent="0.25">
      <c r="D27" s="2" t="s">
        <v>1</v>
      </c>
      <c r="E27" s="1" t="s">
        <v>645</v>
      </c>
      <c r="G27" t="s">
        <v>25</v>
      </c>
      <c r="H27" t="s">
        <v>1</v>
      </c>
      <c r="I27" t="str">
        <f t="shared" si="3"/>
        <v>F-D2</v>
      </c>
    </row>
    <row r="28" spans="4:11" x14ac:dyDescent="0.25">
      <c r="D28" s="2" t="s">
        <v>5</v>
      </c>
      <c r="E28" s="1" t="s">
        <v>644</v>
      </c>
      <c r="G28" t="s">
        <v>23</v>
      </c>
      <c r="H28" t="s">
        <v>1</v>
      </c>
      <c r="I28" t="str">
        <f t="shared" si="3"/>
        <v>F-D3</v>
      </c>
    </row>
    <row r="29" spans="4:11" x14ac:dyDescent="0.25">
      <c r="D29" s="2" t="s">
        <v>1</v>
      </c>
      <c r="E29" s="1" t="s">
        <v>643</v>
      </c>
      <c r="G29" t="s">
        <v>21</v>
      </c>
      <c r="H29" t="s">
        <v>5</v>
      </c>
      <c r="I29" t="str">
        <f t="shared" si="3"/>
        <v>F-D4</v>
      </c>
    </row>
    <row r="30" spans="4:11" x14ac:dyDescent="0.25">
      <c r="D30" s="2" t="s">
        <v>1</v>
      </c>
      <c r="E30" s="1" t="s">
        <v>642</v>
      </c>
      <c r="G30" t="s">
        <v>18</v>
      </c>
      <c r="H30" t="s">
        <v>1</v>
      </c>
      <c r="I30" t="str">
        <f t="shared" si="3"/>
        <v>F-D5</v>
      </c>
    </row>
    <row r="31" spans="4:11" x14ac:dyDescent="0.25">
      <c r="D31" s="2" t="s">
        <v>1</v>
      </c>
      <c r="E31" s="1" t="s">
        <v>641</v>
      </c>
      <c r="G31" t="s">
        <v>8</v>
      </c>
      <c r="H31" t="s">
        <v>1</v>
      </c>
      <c r="I31" t="str">
        <f t="shared" si="3"/>
        <v>F-D6</v>
      </c>
    </row>
    <row r="32" spans="4:11" x14ac:dyDescent="0.25">
      <c r="D32" s="2" t="s">
        <v>5</v>
      </c>
      <c r="E32" s="1" t="s">
        <v>640</v>
      </c>
      <c r="G32" t="s">
        <v>17</v>
      </c>
      <c r="H32" t="s">
        <v>1</v>
      </c>
      <c r="I32" t="str">
        <f t="shared" si="3"/>
        <v>F-D7</v>
      </c>
    </row>
    <row r="33" spans="4:9" x14ac:dyDescent="0.25">
      <c r="D33" s="2" t="s">
        <v>100</v>
      </c>
      <c r="E33" s="1" t="s">
        <v>485</v>
      </c>
      <c r="G33" t="s">
        <v>15</v>
      </c>
      <c r="H33" t="s">
        <v>1</v>
      </c>
      <c r="I33" t="str">
        <f t="shared" si="3"/>
        <v>F-D8</v>
      </c>
    </row>
    <row r="34" spans="4:9" x14ac:dyDescent="0.25">
      <c r="D34" s="2" t="s">
        <v>100</v>
      </c>
      <c r="E34" s="1" t="s">
        <v>633</v>
      </c>
      <c r="G34" t="s">
        <v>244</v>
      </c>
      <c r="H34" t="s">
        <v>1</v>
      </c>
      <c r="I34" t="str">
        <f t="shared" si="3"/>
        <v>F-D9</v>
      </c>
    </row>
    <row r="35" spans="4:9" x14ac:dyDescent="0.25">
      <c r="D35" s="2" t="s">
        <v>100</v>
      </c>
      <c r="E35" s="1" t="s">
        <v>487</v>
      </c>
      <c r="G35" t="s">
        <v>474</v>
      </c>
      <c r="H35" t="s">
        <v>1</v>
      </c>
      <c r="I35" t="str">
        <f t="shared" si="3"/>
        <v>F-D10</v>
      </c>
    </row>
    <row r="36" spans="4:9" x14ac:dyDescent="0.25">
      <c r="D36" s="2" t="s">
        <v>100</v>
      </c>
      <c r="E36" s="1" t="s">
        <v>632</v>
      </c>
      <c r="G36" t="s">
        <v>472</v>
      </c>
      <c r="H36" t="s">
        <v>5</v>
      </c>
      <c r="I36" t="str">
        <f t="shared" si="3"/>
        <v>F-D11</v>
      </c>
    </row>
    <row r="37" spans="4:9" x14ac:dyDescent="0.25">
      <c r="D37" s="2" t="s">
        <v>100</v>
      </c>
      <c r="E37" s="1" t="s">
        <v>631</v>
      </c>
      <c r="G37" t="s">
        <v>470</v>
      </c>
      <c r="H37" t="s">
        <v>1</v>
      </c>
      <c r="I37" t="str">
        <f t="shared" si="3"/>
        <v>F-D12</v>
      </c>
    </row>
    <row r="38" spans="4:9" x14ac:dyDescent="0.25">
      <c r="D38" s="2" t="s">
        <v>100</v>
      </c>
      <c r="E38" s="1" t="s">
        <v>564</v>
      </c>
      <c r="G38" t="s">
        <v>469</v>
      </c>
      <c r="H38" t="s">
        <v>1</v>
      </c>
      <c r="I38" t="str">
        <f t="shared" si="3"/>
        <v>F-D13</v>
      </c>
    </row>
    <row r="39" spans="4:9" x14ac:dyDescent="0.25">
      <c r="D39" s="2" t="s">
        <v>100</v>
      </c>
      <c r="E39" s="1" t="s">
        <v>486</v>
      </c>
      <c r="G39" t="s">
        <v>468</v>
      </c>
      <c r="H39" t="s">
        <v>1</v>
      </c>
      <c r="I39" t="str">
        <f t="shared" si="3"/>
        <v>F-D14</v>
      </c>
    </row>
    <row r="40" spans="4:9" x14ac:dyDescent="0.25">
      <c r="D40" s="2" t="s">
        <v>100</v>
      </c>
      <c r="E40" s="1" t="s">
        <v>623</v>
      </c>
      <c r="G40" t="s">
        <v>639</v>
      </c>
      <c r="H40" t="s">
        <v>5</v>
      </c>
      <c r="I40" t="str">
        <f t="shared" si="3"/>
        <v>F-D15</v>
      </c>
    </row>
    <row r="41" spans="4:9" x14ac:dyDescent="0.25">
      <c r="D41" s="2" t="s">
        <v>555</v>
      </c>
      <c r="E41" s="1" t="s">
        <v>556</v>
      </c>
    </row>
    <row r="42" spans="4:9" x14ac:dyDescent="0.25">
      <c r="D42" s="2" t="s">
        <v>555</v>
      </c>
      <c r="E42" s="1" t="s">
        <v>554</v>
      </c>
    </row>
    <row r="43" spans="4:9" x14ac:dyDescent="0.25">
      <c r="D43" s="2" t="s">
        <v>555</v>
      </c>
      <c r="E43" s="1" t="s">
        <v>610</v>
      </c>
    </row>
    <row r="44" spans="4:9" x14ac:dyDescent="0.25">
      <c r="D44" s="2" t="s">
        <v>555</v>
      </c>
      <c r="E44" s="1" t="s">
        <v>609</v>
      </c>
    </row>
    <row r="45" spans="4:9" x14ac:dyDescent="0.25">
      <c r="D45" s="2" t="s">
        <v>552</v>
      </c>
      <c r="E45" s="1" t="s">
        <v>553</v>
      </c>
    </row>
    <row r="46" spans="4:9" x14ac:dyDescent="0.25">
      <c r="D46" s="2" t="s">
        <v>552</v>
      </c>
      <c r="E46" s="1" t="s">
        <v>550</v>
      </c>
    </row>
    <row r="47" spans="4:9" x14ac:dyDescent="0.25">
      <c r="D47" s="2" t="s">
        <v>552</v>
      </c>
      <c r="E47" s="1" t="s">
        <v>549</v>
      </c>
    </row>
    <row r="48" spans="4:9" x14ac:dyDescent="0.25">
      <c r="D48" s="2" t="s">
        <v>552</v>
      </c>
      <c r="E48" s="1" t="s">
        <v>548</v>
      </c>
    </row>
    <row r="49" spans="4:5" x14ac:dyDescent="0.25">
      <c r="D49" s="2" t="s">
        <v>552</v>
      </c>
      <c r="E49" s="1" t="s">
        <v>547</v>
      </c>
    </row>
    <row r="50" spans="4:5" x14ac:dyDescent="0.25">
      <c r="D50" s="2" t="s">
        <v>552</v>
      </c>
      <c r="E50" s="1" t="s">
        <v>545</v>
      </c>
    </row>
    <row r="51" spans="4:5" x14ac:dyDescent="0.25">
      <c r="D51" s="2" t="s">
        <v>552</v>
      </c>
      <c r="E51" s="1" t="s">
        <v>544</v>
      </c>
    </row>
    <row r="52" spans="4:5" x14ac:dyDescent="0.25">
      <c r="D52" s="2" t="s">
        <v>552</v>
      </c>
      <c r="E52" s="1" t="s">
        <v>543</v>
      </c>
    </row>
    <row r="53" spans="4:5" x14ac:dyDescent="0.25">
      <c r="D53" s="2" t="s">
        <v>552</v>
      </c>
      <c r="E53" s="1" t="s">
        <v>542</v>
      </c>
    </row>
    <row r="54" spans="4:5" x14ac:dyDescent="0.25">
      <c r="D54" s="2" t="s">
        <v>540</v>
      </c>
      <c r="E54" s="1" t="s">
        <v>638</v>
      </c>
    </row>
    <row r="55" spans="4:5" x14ac:dyDescent="0.25">
      <c r="D55" s="2" t="s">
        <v>66</v>
      </c>
      <c r="E55" s="1" t="s">
        <v>626</v>
      </c>
    </row>
    <row r="56" spans="4:5" x14ac:dyDescent="0.25">
      <c r="D56" s="2" t="s">
        <v>66</v>
      </c>
      <c r="E56" s="1" t="s">
        <v>637</v>
      </c>
    </row>
    <row r="57" spans="4:5" x14ac:dyDescent="0.25">
      <c r="D57" s="2" t="s">
        <v>66</v>
      </c>
      <c r="E57" s="1" t="s">
        <v>525</v>
      </c>
    </row>
    <row r="58" spans="4:5" x14ac:dyDescent="0.25">
      <c r="D58" s="2" t="s">
        <v>66</v>
      </c>
      <c r="E58" s="1" t="s">
        <v>526</v>
      </c>
    </row>
    <row r="59" spans="4:5" x14ac:dyDescent="0.25">
      <c r="D59" s="2" t="s">
        <v>66</v>
      </c>
      <c r="E59" s="1" t="s">
        <v>524</v>
      </c>
    </row>
    <row r="60" spans="4:5" x14ac:dyDescent="0.25">
      <c r="D60" s="2" t="s">
        <v>66</v>
      </c>
      <c r="E60" s="1" t="s">
        <v>636</v>
      </c>
    </row>
    <row r="61" spans="4:5" x14ac:dyDescent="0.25">
      <c r="D61" s="2" t="s">
        <v>66</v>
      </c>
      <c r="E61" s="1" t="s">
        <v>635</v>
      </c>
    </row>
    <row r="62" spans="4:5" x14ac:dyDescent="0.25">
      <c r="D62" s="2" t="s">
        <v>66</v>
      </c>
      <c r="E62" s="1" t="s">
        <v>634</v>
      </c>
    </row>
    <row r="63" spans="4:5" x14ac:dyDescent="0.25">
      <c r="D63" s="2" t="s">
        <v>66</v>
      </c>
      <c r="E63" s="1" t="s">
        <v>532</v>
      </c>
    </row>
    <row r="64" spans="4:5" x14ac:dyDescent="0.25">
      <c r="D64" s="2" t="s">
        <v>66</v>
      </c>
      <c r="E64" s="1" t="s">
        <v>531</v>
      </c>
    </row>
    <row r="65" spans="4:5" x14ac:dyDescent="0.25">
      <c r="D65" s="2" t="s">
        <v>66</v>
      </c>
      <c r="E65" s="1" t="s">
        <v>530</v>
      </c>
    </row>
    <row r="66" spans="4:5" x14ac:dyDescent="0.25">
      <c r="D66" s="2" t="s">
        <v>66</v>
      </c>
      <c r="E66" s="1" t="s">
        <v>534</v>
      </c>
    </row>
  </sheetData>
  <dataValidations count="2">
    <dataValidation type="list" allowBlank="1" showInputMessage="1" showErrorMessage="1" sqref="H26:H40 H3:H23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66"/>
  <sheetViews>
    <sheetView topLeftCell="A42" workbookViewId="0">
      <selection activeCell="D3" sqref="D3:E66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4.7109375" bestFit="1" customWidth="1"/>
    <col min="8" max="8" width="21.5703125" bestFit="1" customWidth="1"/>
    <col min="9" max="9" width="6" bestFit="1" customWidth="1"/>
    <col min="10" max="10" width="21.5703125" bestFit="1" customWidth="1"/>
    <col min="11" max="11" width="6.42578125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664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W12A</v>
      </c>
      <c r="D3" s="2" t="s">
        <v>64</v>
      </c>
      <c r="G3" t="s">
        <v>26</v>
      </c>
      <c r="H3" t="s">
        <v>1</v>
      </c>
      <c r="I3" t="str">
        <f t="shared" ref="I3:I10" si="0">I$2&amp;"-"&amp;$G3</f>
        <v>X-D1</v>
      </c>
    </row>
    <row r="4" spans="1:11" x14ac:dyDescent="0.25">
      <c r="D4" s="2" t="s">
        <v>1</v>
      </c>
      <c r="E4" s="1" t="s">
        <v>211</v>
      </c>
      <c r="G4" t="s">
        <v>25</v>
      </c>
      <c r="H4" t="s">
        <v>1</v>
      </c>
      <c r="I4" t="str">
        <f t="shared" si="0"/>
        <v>X-D2</v>
      </c>
    </row>
    <row r="5" spans="1:11" x14ac:dyDescent="0.25">
      <c r="D5" s="2" t="s">
        <v>1</v>
      </c>
      <c r="E5" s="1" t="s">
        <v>210</v>
      </c>
      <c r="G5" t="s">
        <v>23</v>
      </c>
      <c r="H5" t="s">
        <v>1</v>
      </c>
      <c r="I5" t="str">
        <f t="shared" si="0"/>
        <v>X-D3</v>
      </c>
    </row>
    <row r="6" spans="1:11" x14ac:dyDescent="0.25">
      <c r="D6" s="2" t="s">
        <v>1</v>
      </c>
      <c r="E6" s="1" t="s">
        <v>209</v>
      </c>
      <c r="G6" t="s">
        <v>21</v>
      </c>
      <c r="H6" t="s">
        <v>1</v>
      </c>
      <c r="I6" t="str">
        <f t="shared" si="0"/>
        <v>X-D4</v>
      </c>
    </row>
    <row r="7" spans="1:11" x14ac:dyDescent="0.25">
      <c r="D7" s="2" t="s">
        <v>1</v>
      </c>
      <c r="E7" s="1" t="s">
        <v>208</v>
      </c>
      <c r="G7" t="s">
        <v>18</v>
      </c>
      <c r="H7" t="s">
        <v>1</v>
      </c>
      <c r="I7" t="str">
        <f t="shared" si="0"/>
        <v>X-D5</v>
      </c>
    </row>
    <row r="8" spans="1:11" x14ac:dyDescent="0.25">
      <c r="D8" s="2" t="s">
        <v>5</v>
      </c>
      <c r="E8" s="1" t="s">
        <v>207</v>
      </c>
      <c r="G8" t="s">
        <v>8</v>
      </c>
      <c r="H8" t="s">
        <v>1</v>
      </c>
      <c r="I8" t="str">
        <f t="shared" si="0"/>
        <v>X-D6</v>
      </c>
    </row>
    <row r="9" spans="1:11" x14ac:dyDescent="0.25">
      <c r="D9" s="2" t="s">
        <v>5</v>
      </c>
      <c r="E9" s="1" t="s">
        <v>206</v>
      </c>
      <c r="G9" t="s">
        <v>17</v>
      </c>
      <c r="H9" t="s">
        <v>1</v>
      </c>
      <c r="I9" t="str">
        <f t="shared" si="0"/>
        <v>X-D7</v>
      </c>
    </row>
    <row r="10" spans="1:11" x14ac:dyDescent="0.25">
      <c r="D10" s="2" t="s">
        <v>1</v>
      </c>
      <c r="E10" s="1" t="s">
        <v>663</v>
      </c>
      <c r="G10" t="s">
        <v>15</v>
      </c>
      <c r="H10" t="s">
        <v>1</v>
      </c>
      <c r="I10" t="str">
        <f t="shared" si="0"/>
        <v>X-D8</v>
      </c>
    </row>
    <row r="11" spans="1:11" x14ac:dyDescent="0.25">
      <c r="D11" s="2" t="s">
        <v>1</v>
      </c>
      <c r="E11" s="1" t="s">
        <v>662</v>
      </c>
    </row>
    <row r="12" spans="1:11" x14ac:dyDescent="0.25">
      <c r="D12" s="2" t="s">
        <v>1</v>
      </c>
      <c r="E12" s="1" t="s">
        <v>661</v>
      </c>
      <c r="G12" t="s">
        <v>36</v>
      </c>
      <c r="H12" t="s">
        <v>0</v>
      </c>
      <c r="J12" t="str">
        <f t="shared" ref="J12:J23" si="1">H12</f>
        <v>Static Hydraulic Core</v>
      </c>
      <c r="K12" t="str">
        <f t="shared" ref="K12:K23" si="2">K$2&amp;"-"&amp;$G12</f>
        <v>S-HPA</v>
      </c>
    </row>
    <row r="13" spans="1:11" x14ac:dyDescent="0.25">
      <c r="D13" s="2" t="s">
        <v>1</v>
      </c>
      <c r="E13" s="1" t="s">
        <v>660</v>
      </c>
      <c r="G13" t="s">
        <v>34</v>
      </c>
      <c r="H13" t="s">
        <v>0</v>
      </c>
      <c r="J13" t="str">
        <f t="shared" si="1"/>
        <v>Static Hydraulic Core</v>
      </c>
      <c r="K13" t="str">
        <f t="shared" si="2"/>
        <v>S-HPB</v>
      </c>
    </row>
    <row r="14" spans="1:11" x14ac:dyDescent="0.25">
      <c r="D14" s="2" t="s">
        <v>1</v>
      </c>
      <c r="E14" s="1" t="s">
        <v>659</v>
      </c>
      <c r="G14" t="s">
        <v>586</v>
      </c>
      <c r="H14" t="s">
        <v>0</v>
      </c>
      <c r="J14" t="str">
        <f t="shared" si="1"/>
        <v>Static Hydraulic Core</v>
      </c>
      <c r="K14" t="str">
        <f t="shared" si="2"/>
        <v>S-LFA</v>
      </c>
    </row>
    <row r="15" spans="1:11" x14ac:dyDescent="0.25">
      <c r="D15" s="2" t="s">
        <v>1</v>
      </c>
      <c r="E15" s="1" t="s">
        <v>658</v>
      </c>
      <c r="G15" t="s">
        <v>30</v>
      </c>
      <c r="H15" t="s">
        <v>0</v>
      </c>
      <c r="J15" t="str">
        <f t="shared" si="1"/>
        <v>Static Hydraulic Core</v>
      </c>
      <c r="K15" t="str">
        <f t="shared" si="2"/>
        <v>S-LPB</v>
      </c>
    </row>
    <row r="16" spans="1:11" x14ac:dyDescent="0.25">
      <c r="D16" s="2" t="s">
        <v>1</v>
      </c>
      <c r="E16" s="1" t="s">
        <v>657</v>
      </c>
      <c r="G16" t="s">
        <v>462</v>
      </c>
      <c r="H16" t="s">
        <v>6</v>
      </c>
      <c r="J16" t="str">
        <f t="shared" si="1"/>
        <v>Static Electric Core</v>
      </c>
      <c r="K16" t="str">
        <f t="shared" si="2"/>
        <v>S-PA</v>
      </c>
    </row>
    <row r="17" spans="4:11" x14ac:dyDescent="0.25">
      <c r="D17" s="2" t="s">
        <v>1</v>
      </c>
      <c r="E17" s="1" t="s">
        <v>656</v>
      </c>
      <c r="G17" t="s">
        <v>460</v>
      </c>
      <c r="H17" t="s">
        <v>6</v>
      </c>
      <c r="J17" t="str">
        <f t="shared" si="1"/>
        <v>Static Electric Core</v>
      </c>
      <c r="K17" t="str">
        <f t="shared" si="2"/>
        <v>S-PB</v>
      </c>
    </row>
    <row r="18" spans="4:11" x14ac:dyDescent="0.25">
      <c r="D18" s="2" t="s">
        <v>5</v>
      </c>
      <c r="E18" s="1" t="s">
        <v>655</v>
      </c>
      <c r="G18" t="s">
        <v>26</v>
      </c>
      <c r="H18" t="s">
        <v>1</v>
      </c>
      <c r="J18" t="str">
        <f t="shared" si="1"/>
        <v>Hydraulic Coupling</v>
      </c>
      <c r="K18" t="str">
        <f t="shared" si="2"/>
        <v>S-D1</v>
      </c>
    </row>
    <row r="19" spans="4:11" x14ac:dyDescent="0.25">
      <c r="D19" s="2" t="s">
        <v>1</v>
      </c>
      <c r="E19" s="1" t="s">
        <v>654</v>
      </c>
      <c r="G19" t="s">
        <v>25</v>
      </c>
      <c r="H19" t="s">
        <v>1</v>
      </c>
      <c r="J19" t="str">
        <f t="shared" si="1"/>
        <v>Hydraulic Coupling</v>
      </c>
      <c r="K19" t="str">
        <f t="shared" si="2"/>
        <v>S-D2</v>
      </c>
    </row>
    <row r="20" spans="4:11" x14ac:dyDescent="0.25">
      <c r="D20" s="2" t="s">
        <v>1</v>
      </c>
      <c r="E20" s="1" t="s">
        <v>652</v>
      </c>
      <c r="G20" t="s">
        <v>23</v>
      </c>
      <c r="H20" t="s">
        <v>1</v>
      </c>
      <c r="J20" t="str">
        <f t="shared" si="1"/>
        <v>Hydraulic Coupling</v>
      </c>
      <c r="K20" t="str">
        <f t="shared" si="2"/>
        <v>S-D3</v>
      </c>
    </row>
    <row r="21" spans="4:11" x14ac:dyDescent="0.25">
      <c r="D21" s="2" t="s">
        <v>5</v>
      </c>
      <c r="E21" s="1" t="s">
        <v>651</v>
      </c>
      <c r="G21" t="s">
        <v>21</v>
      </c>
      <c r="H21" t="s">
        <v>1</v>
      </c>
      <c r="J21" t="str">
        <f t="shared" si="1"/>
        <v>Hydraulic Coupling</v>
      </c>
      <c r="K21" t="str">
        <f t="shared" si="2"/>
        <v>S-D4</v>
      </c>
    </row>
    <row r="22" spans="4:11" x14ac:dyDescent="0.25">
      <c r="D22" s="2" t="s">
        <v>1</v>
      </c>
      <c r="E22" s="1" t="s">
        <v>650</v>
      </c>
      <c r="G22" t="s">
        <v>18</v>
      </c>
      <c r="H22" t="s">
        <v>5</v>
      </c>
      <c r="J22" t="str">
        <f t="shared" si="1"/>
        <v>Power/Signal Coupling</v>
      </c>
      <c r="K22" t="str">
        <f t="shared" si="2"/>
        <v>S-D5</v>
      </c>
    </row>
    <row r="23" spans="4:11" x14ac:dyDescent="0.25">
      <c r="D23" s="2" t="s">
        <v>1</v>
      </c>
      <c r="E23" s="1" t="s">
        <v>649</v>
      </c>
      <c r="G23" t="s">
        <v>8</v>
      </c>
      <c r="H23" t="s">
        <v>5</v>
      </c>
      <c r="J23" t="str">
        <f t="shared" si="1"/>
        <v>Power/Signal Coupling</v>
      </c>
      <c r="K23" t="str">
        <f t="shared" si="2"/>
        <v>S-D6</v>
      </c>
    </row>
    <row r="24" spans="4:11" x14ac:dyDescent="0.25">
      <c r="D24" s="2" t="s">
        <v>1</v>
      </c>
      <c r="E24" s="1" t="s">
        <v>648</v>
      </c>
    </row>
    <row r="25" spans="4:11" x14ac:dyDescent="0.25">
      <c r="D25" s="2" t="s">
        <v>1</v>
      </c>
      <c r="E25" s="1" t="s">
        <v>647</v>
      </c>
      <c r="I25" t="s">
        <v>653</v>
      </c>
    </row>
    <row r="26" spans="4:11" x14ac:dyDescent="0.25">
      <c r="D26" s="2" t="s">
        <v>1</v>
      </c>
      <c r="E26" s="1" t="s">
        <v>646</v>
      </c>
      <c r="G26" t="s">
        <v>26</v>
      </c>
      <c r="H26" t="s">
        <v>5</v>
      </c>
      <c r="I26" t="str">
        <f t="shared" ref="I26:I40" si="3">I$25&amp;"-"&amp;$G26</f>
        <v>F-D1</v>
      </c>
    </row>
    <row r="27" spans="4:11" x14ac:dyDescent="0.25">
      <c r="D27" s="2" t="s">
        <v>1</v>
      </c>
      <c r="E27" s="1" t="s">
        <v>645</v>
      </c>
      <c r="G27" t="s">
        <v>25</v>
      </c>
      <c r="H27" t="s">
        <v>1</v>
      </c>
      <c r="I27" t="str">
        <f t="shared" si="3"/>
        <v>F-D2</v>
      </c>
    </row>
    <row r="28" spans="4:11" x14ac:dyDescent="0.25">
      <c r="D28" s="2" t="s">
        <v>5</v>
      </c>
      <c r="E28" s="1" t="s">
        <v>644</v>
      </c>
      <c r="G28" t="s">
        <v>23</v>
      </c>
      <c r="H28" t="s">
        <v>1</v>
      </c>
      <c r="I28" t="str">
        <f t="shared" si="3"/>
        <v>F-D3</v>
      </c>
    </row>
    <row r="29" spans="4:11" x14ac:dyDescent="0.25">
      <c r="D29" s="2" t="s">
        <v>1</v>
      </c>
      <c r="E29" s="1" t="s">
        <v>643</v>
      </c>
      <c r="G29" t="s">
        <v>21</v>
      </c>
      <c r="H29" t="s">
        <v>5</v>
      </c>
      <c r="I29" t="str">
        <f t="shared" si="3"/>
        <v>F-D4</v>
      </c>
    </row>
    <row r="30" spans="4:11" x14ac:dyDescent="0.25">
      <c r="D30" s="2" t="s">
        <v>1</v>
      </c>
      <c r="E30" s="1" t="s">
        <v>642</v>
      </c>
      <c r="G30" t="s">
        <v>18</v>
      </c>
      <c r="H30" t="s">
        <v>1</v>
      </c>
      <c r="I30" t="str">
        <f t="shared" si="3"/>
        <v>F-D5</v>
      </c>
    </row>
    <row r="31" spans="4:11" x14ac:dyDescent="0.25">
      <c r="D31" s="2" t="s">
        <v>1</v>
      </c>
      <c r="E31" s="1" t="s">
        <v>641</v>
      </c>
      <c r="G31" t="s">
        <v>8</v>
      </c>
      <c r="H31" t="s">
        <v>1</v>
      </c>
      <c r="I31" t="str">
        <f t="shared" si="3"/>
        <v>F-D6</v>
      </c>
    </row>
    <row r="32" spans="4:11" x14ac:dyDescent="0.25">
      <c r="D32" s="2" t="s">
        <v>5</v>
      </c>
      <c r="E32" s="1" t="s">
        <v>640</v>
      </c>
      <c r="G32" t="s">
        <v>17</v>
      </c>
      <c r="H32" t="s">
        <v>1</v>
      </c>
      <c r="I32" t="str">
        <f t="shared" si="3"/>
        <v>F-D7</v>
      </c>
    </row>
    <row r="33" spans="4:9" x14ac:dyDescent="0.25">
      <c r="D33" s="2" t="s">
        <v>100</v>
      </c>
      <c r="E33" s="1" t="s">
        <v>485</v>
      </c>
      <c r="G33" t="s">
        <v>15</v>
      </c>
      <c r="H33" t="s">
        <v>1</v>
      </c>
      <c r="I33" t="str">
        <f t="shared" si="3"/>
        <v>F-D8</v>
      </c>
    </row>
    <row r="34" spans="4:9" x14ac:dyDescent="0.25">
      <c r="D34" s="2" t="s">
        <v>100</v>
      </c>
      <c r="E34" s="1" t="s">
        <v>633</v>
      </c>
      <c r="G34" t="s">
        <v>244</v>
      </c>
      <c r="H34" t="s">
        <v>1</v>
      </c>
      <c r="I34" t="str">
        <f t="shared" si="3"/>
        <v>F-D9</v>
      </c>
    </row>
    <row r="35" spans="4:9" x14ac:dyDescent="0.25">
      <c r="D35" s="2" t="s">
        <v>100</v>
      </c>
      <c r="E35" s="1" t="s">
        <v>487</v>
      </c>
      <c r="G35" t="s">
        <v>474</v>
      </c>
      <c r="H35" t="s">
        <v>1</v>
      </c>
      <c r="I35" t="str">
        <f t="shared" si="3"/>
        <v>F-D10</v>
      </c>
    </row>
    <row r="36" spans="4:9" x14ac:dyDescent="0.25">
      <c r="D36" s="2" t="s">
        <v>100</v>
      </c>
      <c r="E36" s="1" t="s">
        <v>632</v>
      </c>
      <c r="G36" t="s">
        <v>472</v>
      </c>
      <c r="H36" t="s">
        <v>5</v>
      </c>
      <c r="I36" t="str">
        <f t="shared" si="3"/>
        <v>F-D11</v>
      </c>
    </row>
    <row r="37" spans="4:9" x14ac:dyDescent="0.25">
      <c r="D37" s="2" t="s">
        <v>100</v>
      </c>
      <c r="E37" s="1" t="s">
        <v>631</v>
      </c>
      <c r="G37" t="s">
        <v>470</v>
      </c>
      <c r="H37" t="s">
        <v>1</v>
      </c>
      <c r="I37" t="str">
        <f t="shared" si="3"/>
        <v>F-D12</v>
      </c>
    </row>
    <row r="38" spans="4:9" x14ac:dyDescent="0.25">
      <c r="D38" s="2" t="s">
        <v>100</v>
      </c>
      <c r="E38" s="1" t="s">
        <v>564</v>
      </c>
      <c r="G38" t="s">
        <v>469</v>
      </c>
      <c r="H38" t="s">
        <v>1</v>
      </c>
      <c r="I38" t="str">
        <f t="shared" si="3"/>
        <v>F-D13</v>
      </c>
    </row>
    <row r="39" spans="4:9" x14ac:dyDescent="0.25">
      <c r="D39" s="2" t="s">
        <v>100</v>
      </c>
      <c r="E39" s="1" t="s">
        <v>486</v>
      </c>
      <c r="G39" t="s">
        <v>468</v>
      </c>
      <c r="H39" t="s">
        <v>1</v>
      </c>
      <c r="I39" t="str">
        <f t="shared" si="3"/>
        <v>F-D14</v>
      </c>
    </row>
    <row r="40" spans="4:9" x14ac:dyDescent="0.25">
      <c r="D40" s="2" t="s">
        <v>100</v>
      </c>
      <c r="E40" s="1" t="s">
        <v>623</v>
      </c>
      <c r="G40" t="s">
        <v>639</v>
      </c>
      <c r="H40" t="s">
        <v>5</v>
      </c>
      <c r="I40" t="str">
        <f t="shared" si="3"/>
        <v>F-D15</v>
      </c>
    </row>
    <row r="41" spans="4:9" x14ac:dyDescent="0.25">
      <c r="D41" s="2" t="s">
        <v>555</v>
      </c>
      <c r="E41" s="1" t="s">
        <v>556</v>
      </c>
    </row>
    <row r="42" spans="4:9" x14ac:dyDescent="0.25">
      <c r="D42" s="2" t="s">
        <v>555</v>
      </c>
      <c r="E42" s="1" t="s">
        <v>554</v>
      </c>
    </row>
    <row r="43" spans="4:9" x14ac:dyDescent="0.25">
      <c r="D43" s="2" t="s">
        <v>555</v>
      </c>
      <c r="E43" s="1" t="s">
        <v>610</v>
      </c>
    </row>
    <row r="44" spans="4:9" x14ac:dyDescent="0.25">
      <c r="D44" s="2" t="s">
        <v>555</v>
      </c>
      <c r="E44" s="1" t="s">
        <v>609</v>
      </c>
    </row>
    <row r="45" spans="4:9" x14ac:dyDescent="0.25">
      <c r="D45" s="2" t="s">
        <v>552</v>
      </c>
      <c r="E45" s="1" t="s">
        <v>553</v>
      </c>
    </row>
    <row r="46" spans="4:9" x14ac:dyDescent="0.25">
      <c r="D46" s="2" t="s">
        <v>552</v>
      </c>
      <c r="E46" s="1" t="s">
        <v>629</v>
      </c>
    </row>
    <row r="47" spans="4:9" x14ac:dyDescent="0.25">
      <c r="D47" s="2" t="s">
        <v>552</v>
      </c>
      <c r="E47" s="1" t="s">
        <v>550</v>
      </c>
    </row>
    <row r="48" spans="4:9" x14ac:dyDescent="0.25">
      <c r="D48" s="2" t="s">
        <v>552</v>
      </c>
      <c r="E48" s="1" t="s">
        <v>549</v>
      </c>
    </row>
    <row r="49" spans="4:5" x14ac:dyDescent="0.25">
      <c r="D49" s="2" t="s">
        <v>552</v>
      </c>
      <c r="E49" s="1" t="s">
        <v>547</v>
      </c>
    </row>
    <row r="50" spans="4:5" x14ac:dyDescent="0.25">
      <c r="D50" s="2" t="s">
        <v>552</v>
      </c>
      <c r="E50" s="1" t="s">
        <v>545</v>
      </c>
    </row>
    <row r="51" spans="4:5" x14ac:dyDescent="0.25">
      <c r="D51" s="2" t="s">
        <v>552</v>
      </c>
      <c r="E51" s="1" t="s">
        <v>544</v>
      </c>
    </row>
    <row r="52" spans="4:5" x14ac:dyDescent="0.25">
      <c r="D52" s="2" t="s">
        <v>552</v>
      </c>
      <c r="E52" s="1" t="s">
        <v>543</v>
      </c>
    </row>
    <row r="53" spans="4:5" x14ac:dyDescent="0.25">
      <c r="D53" s="2" t="s">
        <v>552</v>
      </c>
      <c r="E53" s="1" t="s">
        <v>542</v>
      </c>
    </row>
    <row r="54" spans="4:5" x14ac:dyDescent="0.25">
      <c r="D54" s="2" t="s">
        <v>540</v>
      </c>
      <c r="E54" s="1" t="s">
        <v>638</v>
      </c>
    </row>
    <row r="55" spans="4:5" x14ac:dyDescent="0.25">
      <c r="D55" s="2" t="s">
        <v>66</v>
      </c>
      <c r="E55" s="1" t="s">
        <v>626</v>
      </c>
    </row>
    <row r="56" spans="4:5" x14ac:dyDescent="0.25">
      <c r="D56" s="2" t="s">
        <v>66</v>
      </c>
      <c r="E56" s="1" t="s">
        <v>637</v>
      </c>
    </row>
    <row r="57" spans="4:5" x14ac:dyDescent="0.25">
      <c r="D57" s="2" t="s">
        <v>66</v>
      </c>
      <c r="E57" s="1" t="s">
        <v>525</v>
      </c>
    </row>
    <row r="58" spans="4:5" x14ac:dyDescent="0.25">
      <c r="D58" s="2" t="s">
        <v>66</v>
      </c>
      <c r="E58" s="1" t="s">
        <v>526</v>
      </c>
    </row>
    <row r="59" spans="4:5" x14ac:dyDescent="0.25">
      <c r="D59" s="2" t="s">
        <v>66</v>
      </c>
      <c r="E59" s="1" t="s">
        <v>524</v>
      </c>
    </row>
    <row r="60" spans="4:5" x14ac:dyDescent="0.25">
      <c r="D60" s="2" t="s">
        <v>66</v>
      </c>
      <c r="E60" s="1" t="s">
        <v>636</v>
      </c>
    </row>
    <row r="61" spans="4:5" x14ac:dyDescent="0.25">
      <c r="D61" s="2" t="s">
        <v>66</v>
      </c>
      <c r="E61" s="1" t="s">
        <v>635</v>
      </c>
    </row>
    <row r="62" spans="4:5" x14ac:dyDescent="0.25">
      <c r="D62" s="2" t="s">
        <v>66</v>
      </c>
      <c r="E62" s="1" t="s">
        <v>634</v>
      </c>
    </row>
    <row r="63" spans="4:5" x14ac:dyDescent="0.25">
      <c r="D63" s="2" t="s">
        <v>66</v>
      </c>
      <c r="E63" s="1" t="s">
        <v>532</v>
      </c>
    </row>
    <row r="64" spans="4:5" x14ac:dyDescent="0.25">
      <c r="D64" s="2" t="s">
        <v>66</v>
      </c>
      <c r="E64" s="1" t="s">
        <v>531</v>
      </c>
    </row>
    <row r="65" spans="4:5" x14ac:dyDescent="0.25">
      <c r="D65" s="2" t="s">
        <v>66</v>
      </c>
      <c r="E65" s="1" t="s">
        <v>530</v>
      </c>
    </row>
    <row r="66" spans="4:5" x14ac:dyDescent="0.25">
      <c r="D66" s="2" t="s">
        <v>66</v>
      </c>
      <c r="E66" s="1" t="s">
        <v>534</v>
      </c>
    </row>
  </sheetData>
  <dataValidations count="2">
    <dataValidation type="list" allowBlank="1" showInputMessage="1" showErrorMessage="1" sqref="H26:H40 H3:H23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35"/>
  <sheetViews>
    <sheetView workbookViewId="0">
      <selection activeCell="H25" sqref="H2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42578125" bestFit="1" customWidth="1"/>
    <col min="8" max="8" width="21.5703125" bestFit="1" customWidth="1"/>
    <col min="9" max="9" width="8.140625" bestFit="1" customWidth="1"/>
  </cols>
  <sheetData>
    <row r="1" spans="1:9" s="13" customFormat="1" x14ac:dyDescent="0.25">
      <c r="A1" s="14" t="s">
        <v>727</v>
      </c>
      <c r="B1" s="9" t="s">
        <v>729</v>
      </c>
      <c r="C1" s="3"/>
    </row>
    <row r="2" spans="1:9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268</v>
      </c>
    </row>
    <row r="3" spans="1:9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W13</v>
      </c>
      <c r="D3" s="2" t="s">
        <v>64</v>
      </c>
      <c r="G3" s="6" t="s">
        <v>485</v>
      </c>
      <c r="H3" t="s">
        <v>0</v>
      </c>
      <c r="I3" t="str">
        <f t="shared" ref="I3:I18" si="0">I$2&amp;"-"&amp;$G3</f>
        <v>S-SCSSV</v>
      </c>
    </row>
    <row r="4" spans="1:9" x14ac:dyDescent="0.25">
      <c r="D4" s="2" t="s">
        <v>1</v>
      </c>
      <c r="E4" s="1" t="s">
        <v>211</v>
      </c>
      <c r="G4" s="6" t="s">
        <v>633</v>
      </c>
      <c r="H4" t="s">
        <v>0</v>
      </c>
      <c r="I4" t="str">
        <f t="shared" si="0"/>
        <v>S-UIMV</v>
      </c>
    </row>
    <row r="5" spans="1:9" x14ac:dyDescent="0.25">
      <c r="D5" s="2" t="s">
        <v>1</v>
      </c>
      <c r="E5" s="1" t="s">
        <v>210</v>
      </c>
      <c r="G5" s="6" t="s">
        <v>487</v>
      </c>
      <c r="H5" t="s">
        <v>0</v>
      </c>
      <c r="I5" t="str">
        <f t="shared" si="0"/>
        <v>S-AMV</v>
      </c>
    </row>
    <row r="6" spans="1:9" x14ac:dyDescent="0.25">
      <c r="D6" s="2" t="s">
        <v>1</v>
      </c>
      <c r="E6" s="1" t="s">
        <v>209</v>
      </c>
      <c r="G6" s="6" t="s">
        <v>486</v>
      </c>
      <c r="H6" t="s">
        <v>0</v>
      </c>
      <c r="I6" t="str">
        <f t="shared" si="0"/>
        <v>S-XOV</v>
      </c>
    </row>
    <row r="7" spans="1:9" x14ac:dyDescent="0.25">
      <c r="D7" s="2" t="s">
        <v>1</v>
      </c>
      <c r="E7" s="1" t="s">
        <v>208</v>
      </c>
      <c r="G7" t="s">
        <v>632</v>
      </c>
      <c r="H7" t="s">
        <v>0</v>
      </c>
      <c r="I7" t="str">
        <f t="shared" si="0"/>
        <v>S-IWV</v>
      </c>
    </row>
    <row r="8" spans="1:9" x14ac:dyDescent="0.25">
      <c r="D8" s="2" t="s">
        <v>1</v>
      </c>
      <c r="E8" s="1" t="s">
        <v>207</v>
      </c>
      <c r="G8" t="s">
        <v>26</v>
      </c>
      <c r="H8" t="s">
        <v>1</v>
      </c>
      <c r="I8" t="str">
        <f t="shared" si="0"/>
        <v>S-D1</v>
      </c>
    </row>
    <row r="9" spans="1:9" x14ac:dyDescent="0.25">
      <c r="D9" s="2" t="s">
        <v>5</v>
      </c>
      <c r="E9" s="1" t="s">
        <v>206</v>
      </c>
      <c r="G9" t="s">
        <v>25</v>
      </c>
      <c r="H9" t="s">
        <v>1</v>
      </c>
      <c r="I9" t="str">
        <f t="shared" si="0"/>
        <v>S-D2</v>
      </c>
    </row>
    <row r="10" spans="1:9" x14ac:dyDescent="0.25">
      <c r="D10" s="2" t="s">
        <v>5</v>
      </c>
      <c r="E10" s="1" t="s">
        <v>205</v>
      </c>
      <c r="G10" t="s">
        <v>23</v>
      </c>
      <c r="H10" t="s">
        <v>1</v>
      </c>
      <c r="I10" t="str">
        <f t="shared" si="0"/>
        <v>S-D3</v>
      </c>
    </row>
    <row r="11" spans="1:9" x14ac:dyDescent="0.25">
      <c r="D11" s="2" t="s">
        <v>5</v>
      </c>
      <c r="E11" s="1" t="s">
        <v>204</v>
      </c>
      <c r="G11" t="s">
        <v>21</v>
      </c>
      <c r="H11" t="s">
        <v>1</v>
      </c>
      <c r="I11" t="str">
        <f t="shared" si="0"/>
        <v>S-D4</v>
      </c>
    </row>
    <row r="12" spans="1:9" x14ac:dyDescent="0.25">
      <c r="D12" s="2" t="s">
        <v>100</v>
      </c>
      <c r="E12" s="1" t="s">
        <v>485</v>
      </c>
      <c r="G12" t="s">
        <v>18</v>
      </c>
      <c r="H12" t="s">
        <v>1</v>
      </c>
      <c r="I12" t="str">
        <f t="shared" si="0"/>
        <v>S-D5</v>
      </c>
    </row>
    <row r="13" spans="1:9" x14ac:dyDescent="0.25">
      <c r="D13" s="2" t="s">
        <v>100</v>
      </c>
      <c r="E13" s="1" t="s">
        <v>633</v>
      </c>
      <c r="G13" t="s">
        <v>630</v>
      </c>
      <c r="H13" t="s">
        <v>6</v>
      </c>
      <c r="I13" t="str">
        <f t="shared" si="0"/>
        <v>S-PDT</v>
      </c>
    </row>
    <row r="14" spans="1:9" x14ac:dyDescent="0.25">
      <c r="D14" s="2" t="s">
        <v>100</v>
      </c>
      <c r="E14" s="1" t="s">
        <v>487</v>
      </c>
      <c r="G14" t="s">
        <v>628</v>
      </c>
      <c r="H14" t="s">
        <v>6</v>
      </c>
      <c r="I14" t="str">
        <f t="shared" si="0"/>
        <v>S-PT1</v>
      </c>
    </row>
    <row r="15" spans="1:9" x14ac:dyDescent="0.25">
      <c r="D15" s="2" t="s">
        <v>100</v>
      </c>
      <c r="E15" s="1" t="s">
        <v>632</v>
      </c>
      <c r="G15" t="s">
        <v>627</v>
      </c>
      <c r="H15" t="s">
        <v>6</v>
      </c>
      <c r="I15" t="str">
        <f t="shared" si="0"/>
        <v>S-PT2</v>
      </c>
    </row>
    <row r="16" spans="1:9" x14ac:dyDescent="0.25">
      <c r="D16" s="2" t="s">
        <v>100</v>
      </c>
      <c r="E16" s="1" t="s">
        <v>631</v>
      </c>
      <c r="G16" t="s">
        <v>8</v>
      </c>
      <c r="H16" t="s">
        <v>5</v>
      </c>
      <c r="I16" t="str">
        <f t="shared" si="0"/>
        <v>S-D6</v>
      </c>
    </row>
    <row r="17" spans="4:9" x14ac:dyDescent="0.25">
      <c r="D17" s="2" t="s">
        <v>100</v>
      </c>
      <c r="E17" s="1" t="s">
        <v>564</v>
      </c>
      <c r="G17" t="s">
        <v>17</v>
      </c>
      <c r="H17" t="s">
        <v>5</v>
      </c>
      <c r="I17" t="str">
        <f t="shared" si="0"/>
        <v>S-D7</v>
      </c>
    </row>
    <row r="18" spans="4:9" x14ac:dyDescent="0.25">
      <c r="D18" s="2" t="s">
        <v>100</v>
      </c>
      <c r="E18" s="1" t="s">
        <v>486</v>
      </c>
      <c r="G18" t="s">
        <v>15</v>
      </c>
      <c r="H18" t="s">
        <v>5</v>
      </c>
      <c r="I18" t="str">
        <f t="shared" si="0"/>
        <v>S-D8</v>
      </c>
    </row>
    <row r="19" spans="4:9" x14ac:dyDescent="0.25">
      <c r="D19" s="2" t="s">
        <v>555</v>
      </c>
      <c r="E19" s="1" t="s">
        <v>556</v>
      </c>
    </row>
    <row r="20" spans="4:9" x14ac:dyDescent="0.25">
      <c r="D20" s="2" t="s">
        <v>552</v>
      </c>
      <c r="E20" s="1" t="s">
        <v>630</v>
      </c>
    </row>
    <row r="21" spans="4:9" x14ac:dyDescent="0.25">
      <c r="D21" s="2" t="s">
        <v>552</v>
      </c>
      <c r="E21" s="1" t="s">
        <v>629</v>
      </c>
    </row>
    <row r="22" spans="4:9" x14ac:dyDescent="0.25">
      <c r="D22" s="2" t="s">
        <v>552</v>
      </c>
      <c r="E22" s="1" t="s">
        <v>628</v>
      </c>
    </row>
    <row r="23" spans="4:9" x14ac:dyDescent="0.25">
      <c r="D23" s="2" t="s">
        <v>552</v>
      </c>
      <c r="E23" s="1" t="s">
        <v>627</v>
      </c>
    </row>
    <row r="24" spans="4:9" x14ac:dyDescent="0.25">
      <c r="D24" s="2" t="s">
        <v>66</v>
      </c>
      <c r="E24" s="1" t="s">
        <v>626</v>
      </c>
    </row>
    <row r="25" spans="4:9" x14ac:dyDescent="0.25">
      <c r="D25" s="2" t="s">
        <v>66</v>
      </c>
      <c r="E25" s="1" t="s">
        <v>535</v>
      </c>
    </row>
    <row r="26" spans="4:9" x14ac:dyDescent="0.25">
      <c r="D26" s="2" t="s">
        <v>66</v>
      </c>
      <c r="E26" s="1" t="s">
        <v>625</v>
      </c>
    </row>
    <row r="27" spans="4:9" x14ac:dyDescent="0.25">
      <c r="D27" s="2" t="s">
        <v>66</v>
      </c>
      <c r="E27" s="1" t="s">
        <v>624</v>
      </c>
    </row>
    <row r="28" spans="4:9" x14ac:dyDescent="0.25">
      <c r="D28" s="2" t="s">
        <v>66</v>
      </c>
      <c r="E28" s="1" t="s">
        <v>623</v>
      </c>
    </row>
    <row r="29" spans="4:9" x14ac:dyDescent="0.25">
      <c r="D29" s="2" t="s">
        <v>66</v>
      </c>
      <c r="E29" s="1" t="s">
        <v>525</v>
      </c>
    </row>
    <row r="30" spans="4:9" x14ac:dyDescent="0.25">
      <c r="D30" s="2" t="s">
        <v>66</v>
      </c>
      <c r="E30" s="1" t="s">
        <v>526</v>
      </c>
    </row>
    <row r="31" spans="4:9" x14ac:dyDescent="0.25">
      <c r="D31" s="2" t="s">
        <v>66</v>
      </c>
      <c r="E31" s="1" t="s">
        <v>524</v>
      </c>
    </row>
    <row r="32" spans="4:9" x14ac:dyDescent="0.25">
      <c r="D32" s="2" t="s">
        <v>66</v>
      </c>
      <c r="E32" s="1" t="s">
        <v>532</v>
      </c>
    </row>
    <row r="33" spans="4:5" x14ac:dyDescent="0.25">
      <c r="D33" s="2" t="s">
        <v>66</v>
      </c>
      <c r="E33" s="1" t="s">
        <v>531</v>
      </c>
    </row>
    <row r="34" spans="4:5" x14ac:dyDescent="0.25">
      <c r="D34" s="2" t="s">
        <v>66</v>
      </c>
      <c r="E34" s="1" t="s">
        <v>530</v>
      </c>
    </row>
    <row r="35" spans="4:5" x14ac:dyDescent="0.25">
      <c r="D35" s="2" t="s">
        <v>66</v>
      </c>
      <c r="E35" s="1" t="s">
        <v>534</v>
      </c>
    </row>
  </sheetData>
  <dataValidations count="2">
    <dataValidation type="list" allowBlank="1" showInputMessage="1" showErrorMessage="1" sqref="H3:H18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5"/>
  <sheetViews>
    <sheetView topLeftCell="A7" workbookViewId="0">
      <selection activeCell="D3" sqref="D3:E3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6.42578125" bestFit="1" customWidth="1"/>
    <col min="8" max="8" width="21.5703125" bestFit="1" customWidth="1"/>
    <col min="9" max="9" width="8.140625" bestFit="1" customWidth="1"/>
  </cols>
  <sheetData>
    <row r="1" spans="1:9" s="13" customFormat="1" x14ac:dyDescent="0.25">
      <c r="A1" s="14" t="s">
        <v>727</v>
      </c>
      <c r="B1" s="9" t="s">
        <v>729</v>
      </c>
      <c r="C1" s="3"/>
    </row>
    <row r="2" spans="1:9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268</v>
      </c>
    </row>
    <row r="3" spans="1:9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W14</v>
      </c>
      <c r="D3" s="2" t="s">
        <v>64</v>
      </c>
      <c r="G3" t="s">
        <v>485</v>
      </c>
      <c r="H3" t="s">
        <v>0</v>
      </c>
      <c r="I3" t="str">
        <f t="shared" ref="I3:I18" si="0">I$2&amp;"-"&amp;$G3</f>
        <v>S-SCSSV</v>
      </c>
    </row>
    <row r="4" spans="1:9" x14ac:dyDescent="0.25">
      <c r="D4" s="2" t="s">
        <v>1</v>
      </c>
      <c r="E4" s="1" t="s">
        <v>211</v>
      </c>
      <c r="G4" t="s">
        <v>633</v>
      </c>
      <c r="H4" t="s">
        <v>0</v>
      </c>
      <c r="I4" t="str">
        <f t="shared" si="0"/>
        <v>S-UIMV</v>
      </c>
    </row>
    <row r="5" spans="1:9" x14ac:dyDescent="0.25">
      <c r="D5" s="2" t="s">
        <v>1</v>
      </c>
      <c r="E5" s="1" t="s">
        <v>210</v>
      </c>
      <c r="G5" t="s">
        <v>487</v>
      </c>
      <c r="H5" t="s">
        <v>0</v>
      </c>
      <c r="I5" t="str">
        <f t="shared" si="0"/>
        <v>S-AMV</v>
      </c>
    </row>
    <row r="6" spans="1:9" x14ac:dyDescent="0.25">
      <c r="D6" s="2" t="s">
        <v>1</v>
      </c>
      <c r="E6" s="1" t="s">
        <v>209</v>
      </c>
      <c r="G6" t="s">
        <v>486</v>
      </c>
      <c r="H6" t="s">
        <v>0</v>
      </c>
      <c r="I6" t="str">
        <f t="shared" si="0"/>
        <v>S-XOV</v>
      </c>
    </row>
    <row r="7" spans="1:9" x14ac:dyDescent="0.25">
      <c r="D7" s="2" t="s">
        <v>1</v>
      </c>
      <c r="E7" s="1" t="s">
        <v>208</v>
      </c>
      <c r="G7" t="s">
        <v>632</v>
      </c>
      <c r="H7" t="s">
        <v>0</v>
      </c>
      <c r="I7" t="str">
        <f t="shared" si="0"/>
        <v>S-IWV</v>
      </c>
    </row>
    <row r="8" spans="1:9" x14ac:dyDescent="0.25">
      <c r="D8" s="2" t="s">
        <v>1</v>
      </c>
      <c r="E8" s="1" t="s">
        <v>207</v>
      </c>
      <c r="G8" t="s">
        <v>26</v>
      </c>
      <c r="H8" t="s">
        <v>1</v>
      </c>
      <c r="I8" t="str">
        <f t="shared" si="0"/>
        <v>S-D1</v>
      </c>
    </row>
    <row r="9" spans="1:9" x14ac:dyDescent="0.25">
      <c r="D9" s="2" t="s">
        <v>5</v>
      </c>
      <c r="E9" s="1" t="s">
        <v>206</v>
      </c>
      <c r="G9" t="s">
        <v>25</v>
      </c>
      <c r="H9" t="s">
        <v>1</v>
      </c>
      <c r="I9" t="str">
        <f t="shared" si="0"/>
        <v>S-D2</v>
      </c>
    </row>
    <row r="10" spans="1:9" x14ac:dyDescent="0.25">
      <c r="D10" s="2" t="s">
        <v>5</v>
      </c>
      <c r="E10" s="1" t="s">
        <v>205</v>
      </c>
      <c r="G10" t="s">
        <v>23</v>
      </c>
      <c r="H10" t="s">
        <v>1</v>
      </c>
      <c r="I10" t="str">
        <f t="shared" si="0"/>
        <v>S-D3</v>
      </c>
    </row>
    <row r="11" spans="1:9" x14ac:dyDescent="0.25">
      <c r="D11" s="2" t="s">
        <v>5</v>
      </c>
      <c r="E11" s="1" t="s">
        <v>204</v>
      </c>
      <c r="G11" t="s">
        <v>21</v>
      </c>
      <c r="H11" t="s">
        <v>1</v>
      </c>
      <c r="I11" t="str">
        <f t="shared" si="0"/>
        <v>S-D4</v>
      </c>
    </row>
    <row r="12" spans="1:9" x14ac:dyDescent="0.25">
      <c r="D12" s="2" t="s">
        <v>100</v>
      </c>
      <c r="E12" s="1" t="s">
        <v>485</v>
      </c>
      <c r="G12" t="s">
        <v>18</v>
      </c>
      <c r="H12" t="s">
        <v>1</v>
      </c>
      <c r="I12" t="str">
        <f t="shared" si="0"/>
        <v>S-D5</v>
      </c>
    </row>
    <row r="13" spans="1:9" x14ac:dyDescent="0.25">
      <c r="D13" s="2" t="s">
        <v>100</v>
      </c>
      <c r="E13" s="1" t="s">
        <v>633</v>
      </c>
      <c r="G13" t="s">
        <v>630</v>
      </c>
      <c r="H13" t="s">
        <v>6</v>
      </c>
      <c r="I13" t="str">
        <f t="shared" si="0"/>
        <v>S-PDT</v>
      </c>
    </row>
    <row r="14" spans="1:9" x14ac:dyDescent="0.25">
      <c r="D14" s="2" t="s">
        <v>100</v>
      </c>
      <c r="E14" s="1" t="s">
        <v>487</v>
      </c>
      <c r="G14" t="s">
        <v>628</v>
      </c>
      <c r="H14" t="s">
        <v>6</v>
      </c>
      <c r="I14" t="str">
        <f t="shared" si="0"/>
        <v>S-PT1</v>
      </c>
    </row>
    <row r="15" spans="1:9" x14ac:dyDescent="0.25">
      <c r="D15" s="2" t="s">
        <v>100</v>
      </c>
      <c r="E15" s="1" t="s">
        <v>632</v>
      </c>
      <c r="G15" t="s">
        <v>627</v>
      </c>
      <c r="H15" t="s">
        <v>6</v>
      </c>
      <c r="I15" t="str">
        <f t="shared" si="0"/>
        <v>S-PT2</v>
      </c>
    </row>
    <row r="16" spans="1:9" x14ac:dyDescent="0.25">
      <c r="D16" s="2" t="s">
        <v>100</v>
      </c>
      <c r="E16" s="1" t="s">
        <v>631</v>
      </c>
      <c r="G16" t="s">
        <v>8</v>
      </c>
      <c r="H16" t="s">
        <v>5</v>
      </c>
      <c r="I16" t="str">
        <f t="shared" si="0"/>
        <v>S-D6</v>
      </c>
    </row>
    <row r="17" spans="4:9" x14ac:dyDescent="0.25">
      <c r="D17" s="2" t="s">
        <v>100</v>
      </c>
      <c r="E17" s="1" t="s">
        <v>564</v>
      </c>
      <c r="G17" t="s">
        <v>17</v>
      </c>
      <c r="H17" t="s">
        <v>5</v>
      </c>
      <c r="I17" t="str">
        <f t="shared" si="0"/>
        <v>S-D7</v>
      </c>
    </row>
    <row r="18" spans="4:9" x14ac:dyDescent="0.25">
      <c r="D18" s="2" t="s">
        <v>100</v>
      </c>
      <c r="E18" s="1" t="s">
        <v>486</v>
      </c>
      <c r="G18" t="s">
        <v>15</v>
      </c>
      <c r="H18" t="s">
        <v>5</v>
      </c>
      <c r="I18" t="str">
        <f t="shared" si="0"/>
        <v>S-D8</v>
      </c>
    </row>
    <row r="19" spans="4:9" x14ac:dyDescent="0.25">
      <c r="D19" s="2" t="s">
        <v>555</v>
      </c>
      <c r="E19" s="1" t="s">
        <v>556</v>
      </c>
    </row>
    <row r="20" spans="4:9" x14ac:dyDescent="0.25">
      <c r="D20" s="2" t="s">
        <v>552</v>
      </c>
      <c r="E20" s="1" t="s">
        <v>630</v>
      </c>
    </row>
    <row r="21" spans="4:9" x14ac:dyDescent="0.25">
      <c r="D21" s="2" t="s">
        <v>552</v>
      </c>
      <c r="E21" s="1" t="s">
        <v>629</v>
      </c>
    </row>
    <row r="22" spans="4:9" x14ac:dyDescent="0.25">
      <c r="D22" s="2" t="s">
        <v>552</v>
      </c>
      <c r="E22" s="1" t="s">
        <v>628</v>
      </c>
    </row>
    <row r="23" spans="4:9" x14ac:dyDescent="0.25">
      <c r="D23" s="2" t="s">
        <v>552</v>
      </c>
      <c r="E23" s="1" t="s">
        <v>627</v>
      </c>
    </row>
    <row r="24" spans="4:9" x14ac:dyDescent="0.25">
      <c r="D24" s="2" t="s">
        <v>66</v>
      </c>
      <c r="E24" s="1" t="s">
        <v>626</v>
      </c>
    </row>
    <row r="25" spans="4:9" x14ac:dyDescent="0.25">
      <c r="D25" s="2" t="s">
        <v>66</v>
      </c>
      <c r="E25" s="1" t="s">
        <v>535</v>
      </c>
    </row>
    <row r="26" spans="4:9" x14ac:dyDescent="0.25">
      <c r="D26" s="2" t="s">
        <v>66</v>
      </c>
      <c r="E26" s="1" t="s">
        <v>625</v>
      </c>
    </row>
    <row r="27" spans="4:9" x14ac:dyDescent="0.25">
      <c r="D27" s="2" t="s">
        <v>66</v>
      </c>
      <c r="E27" s="1" t="s">
        <v>624</v>
      </c>
    </row>
    <row r="28" spans="4:9" x14ac:dyDescent="0.25">
      <c r="D28" s="2" t="s">
        <v>66</v>
      </c>
      <c r="E28" s="1" t="s">
        <v>623</v>
      </c>
    </row>
    <row r="29" spans="4:9" x14ac:dyDescent="0.25">
      <c r="D29" s="2" t="s">
        <v>66</v>
      </c>
      <c r="E29" s="1" t="s">
        <v>525</v>
      </c>
    </row>
    <row r="30" spans="4:9" x14ac:dyDescent="0.25">
      <c r="D30" s="2" t="s">
        <v>66</v>
      </c>
      <c r="E30" s="1" t="s">
        <v>526</v>
      </c>
    </row>
    <row r="31" spans="4:9" x14ac:dyDescent="0.25">
      <c r="D31" s="2" t="s">
        <v>66</v>
      </c>
      <c r="E31" s="1" t="s">
        <v>524</v>
      </c>
    </row>
    <row r="32" spans="4:9" x14ac:dyDescent="0.25">
      <c r="D32" s="2" t="s">
        <v>66</v>
      </c>
      <c r="E32" s="1" t="s">
        <v>532</v>
      </c>
    </row>
    <row r="33" spans="4:5" x14ac:dyDescent="0.25">
      <c r="D33" s="2" t="s">
        <v>66</v>
      </c>
      <c r="E33" s="1" t="s">
        <v>531</v>
      </c>
    </row>
    <row r="34" spans="4:5" x14ac:dyDescent="0.25">
      <c r="D34" s="2" t="s">
        <v>66</v>
      </c>
      <c r="E34" s="1" t="s">
        <v>530</v>
      </c>
    </row>
    <row r="35" spans="4:5" x14ac:dyDescent="0.25">
      <c r="D35" s="2" t="s">
        <v>66</v>
      </c>
      <c r="E35" s="1" t="s">
        <v>534</v>
      </c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61"/>
  <sheetViews>
    <sheetView topLeftCell="A33" workbookViewId="0">
      <selection activeCell="D3" sqref="D3:E61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664</v>
      </c>
      <c r="K2" s="6" t="s">
        <v>269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W15</v>
      </c>
      <c r="D3" s="2" t="s">
        <v>64</v>
      </c>
      <c r="G3" t="s">
        <v>26</v>
      </c>
      <c r="H3" t="s">
        <v>1</v>
      </c>
      <c r="I3" t="str">
        <f t="shared" ref="I3:I10" si="0">I$2&amp;"-"&amp;$G3</f>
        <v>X-D1</v>
      </c>
    </row>
    <row r="4" spans="1:11" x14ac:dyDescent="0.25">
      <c r="D4" s="2" t="s">
        <v>1</v>
      </c>
      <c r="E4" s="1" t="s">
        <v>618</v>
      </c>
      <c r="G4" t="s">
        <v>25</v>
      </c>
      <c r="H4" t="s">
        <v>1</v>
      </c>
      <c r="I4" t="str">
        <f t="shared" si="0"/>
        <v>X-D2</v>
      </c>
    </row>
    <row r="5" spans="1:11" x14ac:dyDescent="0.25">
      <c r="D5" s="2" t="s">
        <v>1</v>
      </c>
      <c r="E5" s="1" t="s">
        <v>617</v>
      </c>
      <c r="G5" t="s">
        <v>23</v>
      </c>
      <c r="H5" t="s">
        <v>1</v>
      </c>
      <c r="I5" t="str">
        <f t="shared" si="0"/>
        <v>X-D3</v>
      </c>
    </row>
    <row r="6" spans="1:11" x14ac:dyDescent="0.25">
      <c r="D6" s="2" t="s">
        <v>1</v>
      </c>
      <c r="E6" s="1" t="s">
        <v>616</v>
      </c>
      <c r="G6" t="s">
        <v>21</v>
      </c>
      <c r="H6" t="s">
        <v>1</v>
      </c>
      <c r="I6" t="str">
        <f t="shared" si="0"/>
        <v>X-D4</v>
      </c>
    </row>
    <row r="7" spans="1:11" x14ac:dyDescent="0.25">
      <c r="D7" s="2" t="s">
        <v>1</v>
      </c>
      <c r="E7" s="1" t="s">
        <v>615</v>
      </c>
      <c r="G7" t="s">
        <v>18</v>
      </c>
      <c r="H7" t="s">
        <v>1</v>
      </c>
      <c r="I7" t="str">
        <f t="shared" si="0"/>
        <v>X-D5</v>
      </c>
    </row>
    <row r="8" spans="1:11" x14ac:dyDescent="0.25">
      <c r="D8" s="2" t="s">
        <v>5</v>
      </c>
      <c r="E8" s="1" t="s">
        <v>614</v>
      </c>
      <c r="G8" t="s">
        <v>8</v>
      </c>
      <c r="H8" t="s">
        <v>1</v>
      </c>
      <c r="I8" t="str">
        <f t="shared" si="0"/>
        <v>X-D6</v>
      </c>
    </row>
    <row r="9" spans="1:11" x14ac:dyDescent="0.25">
      <c r="D9" s="2" t="s">
        <v>5</v>
      </c>
      <c r="E9" s="1" t="s">
        <v>613</v>
      </c>
      <c r="G9" t="s">
        <v>17</v>
      </c>
      <c r="H9" t="s">
        <v>1</v>
      </c>
      <c r="I9" t="str">
        <f t="shared" si="0"/>
        <v>X-D7</v>
      </c>
    </row>
    <row r="10" spans="1:11" x14ac:dyDescent="0.25">
      <c r="D10" s="2" t="s">
        <v>1</v>
      </c>
      <c r="E10" s="1" t="s">
        <v>663</v>
      </c>
      <c r="G10" t="s">
        <v>15</v>
      </c>
      <c r="H10" t="s">
        <v>1</v>
      </c>
      <c r="I10" t="str">
        <f t="shared" si="0"/>
        <v>X-D8</v>
      </c>
    </row>
    <row r="11" spans="1:11" x14ac:dyDescent="0.25">
      <c r="D11" s="2" t="s">
        <v>1</v>
      </c>
      <c r="E11" s="1" t="s">
        <v>662</v>
      </c>
    </row>
    <row r="12" spans="1:11" x14ac:dyDescent="0.25">
      <c r="D12" s="2" t="s">
        <v>1</v>
      </c>
      <c r="E12" s="1" t="s">
        <v>661</v>
      </c>
      <c r="G12" t="s">
        <v>36</v>
      </c>
      <c r="H12" t="s">
        <v>0</v>
      </c>
      <c r="J12" t="str">
        <f t="shared" ref="J12:J23" si="1">H12</f>
        <v>Static Hydraulic Core</v>
      </c>
      <c r="K12" t="str">
        <f t="shared" ref="K12:K23" si="2">K$2&amp;"-"&amp;$G12</f>
        <v>C-HPA</v>
      </c>
    </row>
    <row r="13" spans="1:11" x14ac:dyDescent="0.25">
      <c r="D13" s="2" t="s">
        <v>1</v>
      </c>
      <c r="E13" s="1" t="s">
        <v>660</v>
      </c>
      <c r="G13" t="s">
        <v>34</v>
      </c>
      <c r="H13" t="s">
        <v>0</v>
      </c>
      <c r="J13" t="str">
        <f t="shared" si="1"/>
        <v>Static Hydraulic Core</v>
      </c>
      <c r="K13" t="str">
        <f t="shared" si="2"/>
        <v>C-HPB</v>
      </c>
    </row>
    <row r="14" spans="1:11" x14ac:dyDescent="0.25">
      <c r="D14" s="2" t="s">
        <v>1</v>
      </c>
      <c r="E14" s="1" t="s">
        <v>659</v>
      </c>
      <c r="G14" t="s">
        <v>586</v>
      </c>
      <c r="H14" t="s">
        <v>0</v>
      </c>
      <c r="J14" t="str">
        <f t="shared" si="1"/>
        <v>Static Hydraulic Core</v>
      </c>
      <c r="K14" t="str">
        <f t="shared" si="2"/>
        <v>C-LFA</v>
      </c>
    </row>
    <row r="15" spans="1:11" x14ac:dyDescent="0.25">
      <c r="D15" s="2" t="s">
        <v>1</v>
      </c>
      <c r="E15" s="1" t="s">
        <v>658</v>
      </c>
      <c r="G15" t="s">
        <v>30</v>
      </c>
      <c r="H15" t="s">
        <v>0</v>
      </c>
      <c r="J15" t="str">
        <f t="shared" si="1"/>
        <v>Static Hydraulic Core</v>
      </c>
      <c r="K15" t="str">
        <f t="shared" si="2"/>
        <v>C-LPB</v>
      </c>
    </row>
    <row r="16" spans="1:11" x14ac:dyDescent="0.25">
      <c r="D16" s="2" t="s">
        <v>1</v>
      </c>
      <c r="E16" s="1" t="s">
        <v>657</v>
      </c>
      <c r="G16" t="s">
        <v>462</v>
      </c>
      <c r="H16" t="s">
        <v>6</v>
      </c>
      <c r="J16" t="str">
        <f t="shared" si="1"/>
        <v>Static Electric Core</v>
      </c>
      <c r="K16" t="str">
        <f t="shared" si="2"/>
        <v>C-PA</v>
      </c>
    </row>
    <row r="17" spans="4:11" x14ac:dyDescent="0.25">
      <c r="D17" s="2" t="s">
        <v>1</v>
      </c>
      <c r="E17" s="1" t="s">
        <v>656</v>
      </c>
      <c r="G17" t="s">
        <v>460</v>
      </c>
      <c r="H17" t="s">
        <v>6</v>
      </c>
      <c r="J17" t="str">
        <f t="shared" si="1"/>
        <v>Static Electric Core</v>
      </c>
      <c r="K17" t="str">
        <f t="shared" si="2"/>
        <v>C-PB</v>
      </c>
    </row>
    <row r="18" spans="4:11" x14ac:dyDescent="0.25">
      <c r="D18" s="2" t="s">
        <v>1</v>
      </c>
      <c r="E18" s="1" t="s">
        <v>677</v>
      </c>
      <c r="G18" t="s">
        <v>26</v>
      </c>
      <c r="H18" t="s">
        <v>1</v>
      </c>
      <c r="J18" t="str">
        <f t="shared" si="1"/>
        <v>Hydraulic Coupling</v>
      </c>
      <c r="K18" t="str">
        <f t="shared" si="2"/>
        <v>C-D1</v>
      </c>
    </row>
    <row r="19" spans="4:11" x14ac:dyDescent="0.25">
      <c r="D19" s="2" t="s">
        <v>1</v>
      </c>
      <c r="E19" s="1" t="s">
        <v>675</v>
      </c>
      <c r="G19" t="s">
        <v>25</v>
      </c>
      <c r="H19" t="s">
        <v>1</v>
      </c>
      <c r="J19" t="str">
        <f t="shared" si="1"/>
        <v>Hydraulic Coupling</v>
      </c>
      <c r="K19" t="str">
        <f t="shared" si="2"/>
        <v>C-D2</v>
      </c>
    </row>
    <row r="20" spans="4:11" x14ac:dyDescent="0.25">
      <c r="D20" s="2" t="s">
        <v>1</v>
      </c>
      <c r="E20" s="1" t="s">
        <v>673</v>
      </c>
      <c r="G20" t="s">
        <v>23</v>
      </c>
      <c r="H20" t="s">
        <v>1</v>
      </c>
      <c r="J20" t="str">
        <f t="shared" si="1"/>
        <v>Hydraulic Coupling</v>
      </c>
      <c r="K20" t="str">
        <f t="shared" si="2"/>
        <v>C-D3</v>
      </c>
    </row>
    <row r="21" spans="4:11" x14ac:dyDescent="0.25">
      <c r="D21" s="2" t="s">
        <v>1</v>
      </c>
      <c r="E21" s="1" t="s">
        <v>672</v>
      </c>
      <c r="G21" t="s">
        <v>21</v>
      </c>
      <c r="H21" t="s">
        <v>1</v>
      </c>
      <c r="J21" t="str">
        <f t="shared" si="1"/>
        <v>Hydraulic Coupling</v>
      </c>
      <c r="K21" t="str">
        <f t="shared" si="2"/>
        <v>C-D4</v>
      </c>
    </row>
    <row r="22" spans="4:11" x14ac:dyDescent="0.25">
      <c r="D22" s="2" t="s">
        <v>1</v>
      </c>
      <c r="E22" s="1" t="s">
        <v>671</v>
      </c>
      <c r="G22" t="s">
        <v>18</v>
      </c>
      <c r="H22" t="s">
        <v>5</v>
      </c>
      <c r="J22" t="str">
        <f t="shared" si="1"/>
        <v>Power/Signal Coupling</v>
      </c>
      <c r="K22" t="str">
        <f t="shared" si="2"/>
        <v>C-D5</v>
      </c>
    </row>
    <row r="23" spans="4:11" x14ac:dyDescent="0.25">
      <c r="D23" s="2" t="s">
        <v>1</v>
      </c>
      <c r="E23" s="1" t="s">
        <v>670</v>
      </c>
      <c r="G23" t="s">
        <v>8</v>
      </c>
      <c r="H23" t="s">
        <v>5</v>
      </c>
      <c r="J23" t="str">
        <f t="shared" si="1"/>
        <v>Power/Signal Coupling</v>
      </c>
      <c r="K23" t="str">
        <f t="shared" si="2"/>
        <v>C-D6</v>
      </c>
    </row>
    <row r="24" spans="4:11" x14ac:dyDescent="0.25">
      <c r="D24" s="2" t="s">
        <v>5</v>
      </c>
      <c r="E24" s="1" t="s">
        <v>669</v>
      </c>
    </row>
    <row r="25" spans="4:11" x14ac:dyDescent="0.25">
      <c r="D25" s="2" t="s">
        <v>1</v>
      </c>
      <c r="E25" s="1" t="s">
        <v>668</v>
      </c>
      <c r="I25" t="s">
        <v>685</v>
      </c>
    </row>
    <row r="26" spans="4:11" x14ac:dyDescent="0.25">
      <c r="D26" s="2" t="s">
        <v>5</v>
      </c>
      <c r="E26" s="1" t="s">
        <v>667</v>
      </c>
      <c r="G26" t="s">
        <v>684</v>
      </c>
      <c r="H26" t="s">
        <v>6</v>
      </c>
      <c r="I26" t="str">
        <f t="shared" ref="I26:I43" si="3">I$25&amp;"-"&amp;$G26</f>
        <v>W-PT2PT12</v>
      </c>
    </row>
    <row r="27" spans="4:11" x14ac:dyDescent="0.25">
      <c r="D27" s="2" t="s">
        <v>100</v>
      </c>
      <c r="E27" s="1" t="s">
        <v>485</v>
      </c>
      <c r="G27" t="s">
        <v>683</v>
      </c>
      <c r="H27" t="s">
        <v>6</v>
      </c>
      <c r="I27" t="str">
        <f t="shared" si="3"/>
        <v>W-ZTPDT2</v>
      </c>
    </row>
    <row r="28" spans="4:11" x14ac:dyDescent="0.25">
      <c r="D28" s="2" t="s">
        <v>100</v>
      </c>
      <c r="E28" s="1" t="s">
        <v>633</v>
      </c>
      <c r="G28" t="s">
        <v>682</v>
      </c>
      <c r="H28" t="s">
        <v>0</v>
      </c>
      <c r="I28" t="str">
        <f t="shared" si="3"/>
        <v>W-SCSSV2</v>
      </c>
    </row>
    <row r="29" spans="4:11" x14ac:dyDescent="0.25">
      <c r="D29" s="2" t="s">
        <v>100</v>
      </c>
      <c r="E29" s="1" t="s">
        <v>487</v>
      </c>
      <c r="G29" t="s">
        <v>681</v>
      </c>
      <c r="H29" t="s">
        <v>0</v>
      </c>
      <c r="I29" t="str">
        <f t="shared" si="3"/>
        <v>W-UIMV2</v>
      </c>
    </row>
    <row r="30" spans="4:11" x14ac:dyDescent="0.25">
      <c r="D30" s="2" t="s">
        <v>100</v>
      </c>
      <c r="E30" s="1" t="s">
        <v>632</v>
      </c>
      <c r="G30" t="s">
        <v>680</v>
      </c>
      <c r="H30" t="s">
        <v>0</v>
      </c>
      <c r="I30" t="str">
        <f t="shared" si="3"/>
        <v>W-IWV2</v>
      </c>
    </row>
    <row r="31" spans="4:11" x14ac:dyDescent="0.25">
      <c r="D31" s="2" t="s">
        <v>100</v>
      </c>
      <c r="E31" s="1" t="s">
        <v>631</v>
      </c>
      <c r="G31" t="s">
        <v>679</v>
      </c>
      <c r="H31" t="s">
        <v>0</v>
      </c>
      <c r="I31" t="str">
        <f t="shared" si="3"/>
        <v>W-AMV2</v>
      </c>
    </row>
    <row r="32" spans="4:11" x14ac:dyDescent="0.25">
      <c r="D32" s="2" t="s">
        <v>100</v>
      </c>
      <c r="E32" s="1" t="s">
        <v>564</v>
      </c>
      <c r="G32" t="s">
        <v>678</v>
      </c>
      <c r="H32" t="s">
        <v>0</v>
      </c>
      <c r="I32" t="str">
        <f t="shared" si="3"/>
        <v>W-XOV2</v>
      </c>
    </row>
    <row r="33" spans="4:9" x14ac:dyDescent="0.25">
      <c r="D33" s="2" t="s">
        <v>100</v>
      </c>
      <c r="E33" s="1" t="s">
        <v>486</v>
      </c>
      <c r="G33" t="s">
        <v>676</v>
      </c>
      <c r="H33" t="s">
        <v>0</v>
      </c>
      <c r="I33" t="str">
        <f t="shared" si="3"/>
        <v>W-ICVO2</v>
      </c>
    </row>
    <row r="34" spans="4:9" x14ac:dyDescent="0.25">
      <c r="D34" s="2" t="s">
        <v>100</v>
      </c>
      <c r="E34" s="1" t="s">
        <v>623</v>
      </c>
      <c r="G34" t="s">
        <v>674</v>
      </c>
      <c r="H34" t="s">
        <v>0</v>
      </c>
      <c r="I34" t="str">
        <f t="shared" si="3"/>
        <v>W-ICVC2</v>
      </c>
    </row>
    <row r="35" spans="4:9" x14ac:dyDescent="0.25">
      <c r="D35" s="2" t="s">
        <v>100</v>
      </c>
      <c r="E35" s="1" t="s">
        <v>666</v>
      </c>
      <c r="G35" t="s">
        <v>26</v>
      </c>
      <c r="H35" t="s">
        <v>1</v>
      </c>
      <c r="I35" t="str">
        <f t="shared" si="3"/>
        <v>W-D1</v>
      </c>
    </row>
    <row r="36" spans="4:9" x14ac:dyDescent="0.25">
      <c r="D36" s="2" t="s">
        <v>100</v>
      </c>
      <c r="E36" s="1" t="s">
        <v>665</v>
      </c>
      <c r="G36" t="s">
        <v>25</v>
      </c>
      <c r="H36" t="s">
        <v>1</v>
      </c>
      <c r="I36" t="str">
        <f t="shared" si="3"/>
        <v>W-D2</v>
      </c>
    </row>
    <row r="37" spans="4:9" x14ac:dyDescent="0.25">
      <c r="D37" s="2" t="s">
        <v>555</v>
      </c>
      <c r="E37" s="1" t="s">
        <v>556</v>
      </c>
      <c r="G37" t="s">
        <v>23</v>
      </c>
      <c r="H37" t="s">
        <v>1</v>
      </c>
      <c r="I37" t="str">
        <f t="shared" si="3"/>
        <v>W-D3</v>
      </c>
    </row>
    <row r="38" spans="4:9" x14ac:dyDescent="0.25">
      <c r="D38" s="2" t="s">
        <v>555</v>
      </c>
      <c r="E38" s="1" t="s">
        <v>554</v>
      </c>
      <c r="G38" t="s">
        <v>21</v>
      </c>
      <c r="H38" t="s">
        <v>1</v>
      </c>
      <c r="I38" t="str">
        <f t="shared" si="3"/>
        <v>W-D4</v>
      </c>
    </row>
    <row r="39" spans="4:9" x14ac:dyDescent="0.25">
      <c r="D39" s="2" t="s">
        <v>555</v>
      </c>
      <c r="E39" s="1" t="s">
        <v>610</v>
      </c>
      <c r="G39" t="s">
        <v>18</v>
      </c>
      <c r="H39" t="s">
        <v>1</v>
      </c>
      <c r="I39" t="str">
        <f t="shared" si="3"/>
        <v>W-D5</v>
      </c>
    </row>
    <row r="40" spans="4:9" x14ac:dyDescent="0.25">
      <c r="D40" s="2" t="s">
        <v>555</v>
      </c>
      <c r="E40" s="1" t="s">
        <v>609</v>
      </c>
      <c r="G40" t="s">
        <v>8</v>
      </c>
      <c r="H40" t="s">
        <v>1</v>
      </c>
      <c r="I40" t="str">
        <f t="shared" si="3"/>
        <v>W-D6</v>
      </c>
    </row>
    <row r="41" spans="4:9" x14ac:dyDescent="0.25">
      <c r="D41" s="2" t="s">
        <v>552</v>
      </c>
      <c r="E41" s="1" t="s">
        <v>553</v>
      </c>
      <c r="G41" t="s">
        <v>17</v>
      </c>
      <c r="H41" t="s">
        <v>5</v>
      </c>
      <c r="I41" t="str">
        <f t="shared" si="3"/>
        <v>W-D7</v>
      </c>
    </row>
    <row r="42" spans="4:9" x14ac:dyDescent="0.25">
      <c r="D42" s="2" t="s">
        <v>552</v>
      </c>
      <c r="E42" s="1" t="s">
        <v>629</v>
      </c>
      <c r="G42" t="s">
        <v>15</v>
      </c>
      <c r="H42" t="s">
        <v>1</v>
      </c>
      <c r="I42" t="str">
        <f t="shared" si="3"/>
        <v>W-D8</v>
      </c>
    </row>
    <row r="43" spans="4:9" x14ac:dyDescent="0.25">
      <c r="D43" s="2" t="s">
        <v>552</v>
      </c>
      <c r="E43" s="1" t="s">
        <v>550</v>
      </c>
      <c r="G43" t="s">
        <v>244</v>
      </c>
      <c r="H43" t="s">
        <v>5</v>
      </c>
      <c r="I43" t="str">
        <f t="shared" si="3"/>
        <v>W-D9</v>
      </c>
    </row>
    <row r="44" spans="4:9" x14ac:dyDescent="0.25">
      <c r="D44" s="2" t="s">
        <v>552</v>
      </c>
      <c r="E44" s="1" t="s">
        <v>549</v>
      </c>
    </row>
    <row r="45" spans="4:9" x14ac:dyDescent="0.25">
      <c r="D45" s="2" t="s">
        <v>540</v>
      </c>
      <c r="E45" s="1" t="s">
        <v>638</v>
      </c>
    </row>
    <row r="46" spans="4:9" x14ac:dyDescent="0.25">
      <c r="D46" s="2" t="s">
        <v>552</v>
      </c>
      <c r="E46" s="1" t="s">
        <v>545</v>
      </c>
    </row>
    <row r="47" spans="4:9" x14ac:dyDescent="0.25">
      <c r="D47" s="2" t="s">
        <v>552</v>
      </c>
      <c r="E47" s="1" t="s">
        <v>544</v>
      </c>
    </row>
    <row r="48" spans="4:9" x14ac:dyDescent="0.25">
      <c r="D48" s="2" t="s">
        <v>552</v>
      </c>
      <c r="E48" s="1" t="s">
        <v>543</v>
      </c>
    </row>
    <row r="49" spans="4:5" x14ac:dyDescent="0.25">
      <c r="D49" s="2" t="s">
        <v>552</v>
      </c>
      <c r="E49" s="1" t="s">
        <v>542</v>
      </c>
    </row>
    <row r="50" spans="4:5" x14ac:dyDescent="0.25">
      <c r="D50" s="2" t="s">
        <v>66</v>
      </c>
      <c r="E50" s="1" t="s">
        <v>626</v>
      </c>
    </row>
    <row r="51" spans="4:5" x14ac:dyDescent="0.25">
      <c r="D51" s="2" t="s">
        <v>66</v>
      </c>
      <c r="E51" s="1" t="s">
        <v>535</v>
      </c>
    </row>
    <row r="52" spans="4:5" x14ac:dyDescent="0.25">
      <c r="D52" s="2" t="s">
        <v>66</v>
      </c>
      <c r="E52" s="1" t="s">
        <v>525</v>
      </c>
    </row>
    <row r="53" spans="4:5" x14ac:dyDescent="0.25">
      <c r="D53" s="2" t="s">
        <v>66</v>
      </c>
      <c r="E53" s="1" t="s">
        <v>526</v>
      </c>
    </row>
    <row r="54" spans="4:5" x14ac:dyDescent="0.25">
      <c r="D54" s="2" t="s">
        <v>66</v>
      </c>
      <c r="E54" s="1" t="s">
        <v>524</v>
      </c>
    </row>
    <row r="55" spans="4:5" x14ac:dyDescent="0.25">
      <c r="D55" s="2" t="s">
        <v>66</v>
      </c>
      <c r="E55" s="1" t="s">
        <v>636</v>
      </c>
    </row>
    <row r="56" spans="4:5" x14ac:dyDescent="0.25">
      <c r="D56" s="2" t="s">
        <v>66</v>
      </c>
      <c r="E56" s="1" t="s">
        <v>635</v>
      </c>
    </row>
    <row r="57" spans="4:5" x14ac:dyDescent="0.25">
      <c r="D57" s="2" t="s">
        <v>66</v>
      </c>
      <c r="E57" s="1" t="s">
        <v>634</v>
      </c>
    </row>
    <row r="58" spans="4:5" x14ac:dyDescent="0.25">
      <c r="D58" s="2" t="s">
        <v>66</v>
      </c>
      <c r="E58" s="1" t="s">
        <v>532</v>
      </c>
    </row>
    <row r="59" spans="4:5" x14ac:dyDescent="0.25">
      <c r="D59" s="2" t="s">
        <v>66</v>
      </c>
      <c r="E59" s="1" t="s">
        <v>531</v>
      </c>
    </row>
    <row r="60" spans="4:5" x14ac:dyDescent="0.25">
      <c r="D60" s="2" t="s">
        <v>66</v>
      </c>
      <c r="E60" s="1" t="s">
        <v>530</v>
      </c>
    </row>
    <row r="61" spans="4:5" x14ac:dyDescent="0.25">
      <c r="D61" s="2" t="s">
        <v>66</v>
      </c>
      <c r="E61" s="1" t="s">
        <v>534</v>
      </c>
    </row>
  </sheetData>
  <dataValidations count="2">
    <dataValidation type="list" allowBlank="1" showInputMessage="1" showErrorMessage="1" sqref="H26:H43 H3:H23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I36"/>
  <sheetViews>
    <sheetView workbookViewId="0">
      <selection activeCell="D3" sqref="D3:E36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8.28515625" bestFit="1" customWidth="1"/>
    <col min="8" max="8" width="21.5703125" bestFit="1" customWidth="1"/>
    <col min="9" max="9" width="6" bestFit="1" customWidth="1"/>
    <col min="10" max="10" width="21.5703125" bestFit="1" customWidth="1"/>
    <col min="11" max="11" width="6.42578125" bestFit="1" customWidth="1"/>
  </cols>
  <sheetData>
    <row r="1" spans="1:9" s="13" customFormat="1" x14ac:dyDescent="0.25">
      <c r="A1" s="14" t="s">
        <v>727</v>
      </c>
      <c r="B1" s="9" t="s">
        <v>729</v>
      </c>
      <c r="C1" s="3"/>
    </row>
    <row r="2" spans="1:9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685</v>
      </c>
    </row>
    <row r="3" spans="1:9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W16</v>
      </c>
      <c r="D3" s="2" t="s">
        <v>64</v>
      </c>
      <c r="G3" t="s">
        <v>485</v>
      </c>
      <c r="H3" t="s">
        <v>0</v>
      </c>
      <c r="I3" t="str">
        <f t="shared" ref="I3:I18" si="0">I$2&amp;"-"&amp;$G3</f>
        <v>W-SCSSV</v>
      </c>
    </row>
    <row r="4" spans="1:9" x14ac:dyDescent="0.25">
      <c r="D4" s="2" t="s">
        <v>1</v>
      </c>
      <c r="E4" s="1" t="s">
        <v>677</v>
      </c>
      <c r="G4" t="s">
        <v>633</v>
      </c>
      <c r="H4" t="s">
        <v>0</v>
      </c>
      <c r="I4" t="str">
        <f t="shared" si="0"/>
        <v>W-UIMV</v>
      </c>
    </row>
    <row r="5" spans="1:9" x14ac:dyDescent="0.25">
      <c r="D5" s="2" t="s">
        <v>1</v>
      </c>
      <c r="E5" s="1" t="s">
        <v>675</v>
      </c>
      <c r="G5" t="s">
        <v>487</v>
      </c>
      <c r="H5" t="s">
        <v>0</v>
      </c>
      <c r="I5" t="str">
        <f t="shared" si="0"/>
        <v>W-AMV</v>
      </c>
    </row>
    <row r="6" spans="1:9" x14ac:dyDescent="0.25">
      <c r="D6" s="2" t="s">
        <v>1</v>
      </c>
      <c r="E6" s="1" t="s">
        <v>673</v>
      </c>
      <c r="G6" t="s">
        <v>486</v>
      </c>
      <c r="H6" t="s">
        <v>0</v>
      </c>
      <c r="I6" t="str">
        <f t="shared" si="0"/>
        <v>W-XOV</v>
      </c>
    </row>
    <row r="7" spans="1:9" x14ac:dyDescent="0.25">
      <c r="D7" s="2" t="s">
        <v>1</v>
      </c>
      <c r="E7" s="1" t="s">
        <v>672</v>
      </c>
      <c r="G7" t="s">
        <v>632</v>
      </c>
      <c r="H7" t="s">
        <v>0</v>
      </c>
      <c r="I7" t="str">
        <f t="shared" si="0"/>
        <v>W-IWV</v>
      </c>
    </row>
    <row r="8" spans="1:9" x14ac:dyDescent="0.25">
      <c r="D8" s="2" t="s">
        <v>1</v>
      </c>
      <c r="E8" s="1" t="s">
        <v>671</v>
      </c>
      <c r="G8" t="s">
        <v>26</v>
      </c>
      <c r="H8" t="s">
        <v>1</v>
      </c>
      <c r="I8" t="str">
        <f t="shared" si="0"/>
        <v>W-D1</v>
      </c>
    </row>
    <row r="9" spans="1:9" x14ac:dyDescent="0.25">
      <c r="D9" s="2" t="s">
        <v>5</v>
      </c>
      <c r="E9" s="1" t="s">
        <v>670</v>
      </c>
      <c r="G9" t="s">
        <v>25</v>
      </c>
      <c r="H9" t="s">
        <v>1</v>
      </c>
      <c r="I9" t="str">
        <f t="shared" si="0"/>
        <v>W-D2</v>
      </c>
    </row>
    <row r="10" spans="1:9" x14ac:dyDescent="0.25">
      <c r="D10" s="2" t="s">
        <v>5</v>
      </c>
      <c r="E10" s="1" t="s">
        <v>669</v>
      </c>
      <c r="G10" t="s">
        <v>23</v>
      </c>
      <c r="H10" t="s">
        <v>1</v>
      </c>
      <c r="I10" t="str">
        <f t="shared" si="0"/>
        <v>W-D3</v>
      </c>
    </row>
    <row r="11" spans="1:9" x14ac:dyDescent="0.25">
      <c r="D11" s="2" t="s">
        <v>5</v>
      </c>
      <c r="E11" s="1" t="s">
        <v>668</v>
      </c>
      <c r="G11" t="s">
        <v>21</v>
      </c>
      <c r="H11" t="s">
        <v>1</v>
      </c>
      <c r="I11" t="str">
        <f t="shared" si="0"/>
        <v>W-D4</v>
      </c>
    </row>
    <row r="12" spans="1:9" x14ac:dyDescent="0.25">
      <c r="D12" s="2" t="s">
        <v>100</v>
      </c>
      <c r="E12" s="1" t="s">
        <v>485</v>
      </c>
      <c r="G12" t="s">
        <v>18</v>
      </c>
      <c r="H12" t="s">
        <v>1</v>
      </c>
      <c r="I12" t="str">
        <f t="shared" si="0"/>
        <v>W-D5</v>
      </c>
    </row>
    <row r="13" spans="1:9" x14ac:dyDescent="0.25">
      <c r="D13" s="2" t="s">
        <v>100</v>
      </c>
      <c r="E13" s="1" t="s">
        <v>633</v>
      </c>
      <c r="G13" t="s">
        <v>630</v>
      </c>
      <c r="H13" t="s">
        <v>6</v>
      </c>
      <c r="I13" t="str">
        <f t="shared" si="0"/>
        <v>W-PDT</v>
      </c>
    </row>
    <row r="14" spans="1:9" x14ac:dyDescent="0.25">
      <c r="D14" s="2" t="s">
        <v>100</v>
      </c>
      <c r="E14" s="1" t="s">
        <v>487</v>
      </c>
      <c r="G14" t="s">
        <v>628</v>
      </c>
      <c r="H14" t="s">
        <v>6</v>
      </c>
      <c r="I14" t="str">
        <f t="shared" si="0"/>
        <v>W-PT1</v>
      </c>
    </row>
    <row r="15" spans="1:9" x14ac:dyDescent="0.25">
      <c r="D15" s="2" t="s">
        <v>100</v>
      </c>
      <c r="E15" s="1" t="s">
        <v>632</v>
      </c>
      <c r="G15" t="s">
        <v>627</v>
      </c>
      <c r="H15" t="s">
        <v>6</v>
      </c>
      <c r="I15" t="str">
        <f t="shared" si="0"/>
        <v>W-PT2</v>
      </c>
    </row>
    <row r="16" spans="1:9" x14ac:dyDescent="0.25">
      <c r="D16" s="2" t="s">
        <v>100</v>
      </c>
      <c r="E16" s="1" t="s">
        <v>631</v>
      </c>
      <c r="G16" t="s">
        <v>8</v>
      </c>
      <c r="H16" t="s">
        <v>5</v>
      </c>
      <c r="I16" t="str">
        <f t="shared" si="0"/>
        <v>W-D6</v>
      </c>
    </row>
    <row r="17" spans="4:9" x14ac:dyDescent="0.25">
      <c r="D17" s="2" t="s">
        <v>100</v>
      </c>
      <c r="E17" s="1" t="s">
        <v>564</v>
      </c>
      <c r="G17" t="s">
        <v>17</v>
      </c>
      <c r="H17" t="s">
        <v>5</v>
      </c>
      <c r="I17" t="str">
        <f t="shared" si="0"/>
        <v>W-D7</v>
      </c>
    </row>
    <row r="18" spans="4:9" x14ac:dyDescent="0.25">
      <c r="D18" s="2" t="s">
        <v>100</v>
      </c>
      <c r="E18" s="1" t="s">
        <v>486</v>
      </c>
      <c r="G18" t="s">
        <v>15</v>
      </c>
      <c r="H18" t="s">
        <v>5</v>
      </c>
      <c r="I18" t="str">
        <f t="shared" si="0"/>
        <v>W-D8</v>
      </c>
    </row>
    <row r="19" spans="4:9" x14ac:dyDescent="0.25">
      <c r="D19" s="2" t="s">
        <v>100</v>
      </c>
      <c r="E19" s="1" t="s">
        <v>623</v>
      </c>
    </row>
    <row r="20" spans="4:9" x14ac:dyDescent="0.25">
      <c r="D20" s="2" t="s">
        <v>555</v>
      </c>
      <c r="E20" s="1" t="s">
        <v>556</v>
      </c>
    </row>
    <row r="21" spans="4:9" x14ac:dyDescent="0.25">
      <c r="D21" s="2" t="s">
        <v>552</v>
      </c>
      <c r="E21" s="1" t="s">
        <v>630</v>
      </c>
    </row>
    <row r="22" spans="4:9" x14ac:dyDescent="0.25">
      <c r="D22" s="2" t="s">
        <v>552</v>
      </c>
      <c r="E22" s="1" t="s">
        <v>629</v>
      </c>
    </row>
    <row r="23" spans="4:9" x14ac:dyDescent="0.25">
      <c r="D23" s="2" t="s">
        <v>552</v>
      </c>
      <c r="E23" s="1" t="s">
        <v>628</v>
      </c>
    </row>
    <row r="24" spans="4:9" x14ac:dyDescent="0.25">
      <c r="D24" s="2" t="s">
        <v>552</v>
      </c>
      <c r="E24" s="1" t="s">
        <v>627</v>
      </c>
    </row>
    <row r="25" spans="4:9" x14ac:dyDescent="0.25">
      <c r="D25" s="2" t="s">
        <v>540</v>
      </c>
      <c r="E25" s="1" t="s">
        <v>638</v>
      </c>
    </row>
    <row r="26" spans="4:9" x14ac:dyDescent="0.25">
      <c r="D26" s="2" t="s">
        <v>66</v>
      </c>
      <c r="E26" s="1" t="s">
        <v>626</v>
      </c>
    </row>
    <row r="27" spans="4:9" x14ac:dyDescent="0.25">
      <c r="D27" s="2" t="s">
        <v>66</v>
      </c>
      <c r="E27" s="1" t="s">
        <v>535</v>
      </c>
    </row>
    <row r="28" spans="4:9" x14ac:dyDescent="0.25">
      <c r="D28" s="2" t="s">
        <v>66</v>
      </c>
      <c r="E28" s="1" t="s">
        <v>625</v>
      </c>
    </row>
    <row r="29" spans="4:9" x14ac:dyDescent="0.25">
      <c r="D29" s="2" t="s">
        <v>66</v>
      </c>
      <c r="E29" s="1" t="s">
        <v>624</v>
      </c>
    </row>
    <row r="30" spans="4:9" x14ac:dyDescent="0.25">
      <c r="D30" s="2" t="s">
        <v>66</v>
      </c>
      <c r="E30" s="1" t="s">
        <v>525</v>
      </c>
    </row>
    <row r="31" spans="4:9" x14ac:dyDescent="0.25">
      <c r="D31" s="2" t="s">
        <v>66</v>
      </c>
      <c r="E31" s="1" t="s">
        <v>526</v>
      </c>
    </row>
    <row r="32" spans="4:9" x14ac:dyDescent="0.25">
      <c r="D32" s="2" t="s">
        <v>66</v>
      </c>
      <c r="E32" s="1" t="s">
        <v>524</v>
      </c>
    </row>
    <row r="33" spans="4:5" x14ac:dyDescent="0.25">
      <c r="D33" s="2" t="s">
        <v>66</v>
      </c>
      <c r="E33" s="1" t="s">
        <v>532</v>
      </c>
    </row>
    <row r="34" spans="4:5" x14ac:dyDescent="0.25">
      <c r="D34" s="2" t="s">
        <v>66</v>
      </c>
      <c r="E34" s="1" t="s">
        <v>531</v>
      </c>
    </row>
    <row r="35" spans="4:5" x14ac:dyDescent="0.25">
      <c r="D35" s="2" t="s">
        <v>66</v>
      </c>
      <c r="E35" s="1" t="s">
        <v>530</v>
      </c>
    </row>
    <row r="36" spans="4:5" x14ac:dyDescent="0.25">
      <c r="D36" s="2" t="s">
        <v>66</v>
      </c>
      <c r="E36" s="1" t="s">
        <v>534</v>
      </c>
    </row>
  </sheetData>
  <dataValidations count="2">
    <dataValidation type="list" allowBlank="1" showInputMessage="1" showErrorMessage="1" sqref="H26:H43 H19:H23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61"/>
  <sheetViews>
    <sheetView topLeftCell="A33" workbookViewId="0">
      <selection activeCell="D3" sqref="D3:E61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664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W17</v>
      </c>
      <c r="D3" s="2" t="s">
        <v>64</v>
      </c>
      <c r="G3" t="s">
        <v>26</v>
      </c>
      <c r="H3" t="s">
        <v>1</v>
      </c>
      <c r="I3" t="str">
        <f t="shared" ref="I3:I10" si="0">I$2&amp;"-"&amp;$G3</f>
        <v>X-D1</v>
      </c>
    </row>
    <row r="4" spans="1:11" x14ac:dyDescent="0.25">
      <c r="D4" s="2" t="s">
        <v>1</v>
      </c>
      <c r="E4" s="1" t="s">
        <v>211</v>
      </c>
      <c r="G4" t="s">
        <v>25</v>
      </c>
      <c r="H4" t="s">
        <v>1</v>
      </c>
      <c r="I4" t="str">
        <f t="shared" si="0"/>
        <v>X-D2</v>
      </c>
    </row>
    <row r="5" spans="1:11" x14ac:dyDescent="0.25">
      <c r="D5" s="2" t="s">
        <v>1</v>
      </c>
      <c r="E5" s="1" t="s">
        <v>210</v>
      </c>
      <c r="G5" t="s">
        <v>23</v>
      </c>
      <c r="H5" t="s">
        <v>1</v>
      </c>
      <c r="I5" t="str">
        <f t="shared" si="0"/>
        <v>X-D3</v>
      </c>
    </row>
    <row r="6" spans="1:11" x14ac:dyDescent="0.25">
      <c r="D6" s="2" t="s">
        <v>1</v>
      </c>
      <c r="E6" s="1" t="s">
        <v>209</v>
      </c>
      <c r="G6" t="s">
        <v>21</v>
      </c>
      <c r="H6" t="s">
        <v>1</v>
      </c>
      <c r="I6" t="str">
        <f t="shared" si="0"/>
        <v>X-D4</v>
      </c>
    </row>
    <row r="7" spans="1:11" x14ac:dyDescent="0.25">
      <c r="D7" s="2" t="s">
        <v>1</v>
      </c>
      <c r="E7" s="1" t="s">
        <v>208</v>
      </c>
      <c r="G7" t="s">
        <v>18</v>
      </c>
      <c r="H7" t="s">
        <v>1</v>
      </c>
      <c r="I7" t="str">
        <f t="shared" si="0"/>
        <v>X-D5</v>
      </c>
    </row>
    <row r="8" spans="1:11" x14ac:dyDescent="0.25">
      <c r="D8" s="2" t="s">
        <v>5</v>
      </c>
      <c r="E8" s="1" t="s">
        <v>207</v>
      </c>
      <c r="G8" t="s">
        <v>8</v>
      </c>
      <c r="H8" t="s">
        <v>1</v>
      </c>
      <c r="I8" t="str">
        <f t="shared" si="0"/>
        <v>X-D6</v>
      </c>
    </row>
    <row r="9" spans="1:11" x14ac:dyDescent="0.25">
      <c r="D9" s="2" t="s">
        <v>5</v>
      </c>
      <c r="E9" s="1" t="s">
        <v>206</v>
      </c>
      <c r="G9" t="s">
        <v>17</v>
      </c>
      <c r="H9" t="s">
        <v>1</v>
      </c>
      <c r="I9" t="str">
        <f t="shared" si="0"/>
        <v>X-D7</v>
      </c>
    </row>
    <row r="10" spans="1:11" x14ac:dyDescent="0.25">
      <c r="D10" s="2" t="s">
        <v>1</v>
      </c>
      <c r="E10" s="1" t="s">
        <v>663</v>
      </c>
      <c r="G10" t="s">
        <v>15</v>
      </c>
      <c r="H10" t="s">
        <v>1</v>
      </c>
      <c r="I10" t="str">
        <f t="shared" si="0"/>
        <v>X-D8</v>
      </c>
    </row>
    <row r="11" spans="1:11" x14ac:dyDescent="0.25">
      <c r="D11" s="2" t="s">
        <v>1</v>
      </c>
      <c r="E11" s="1" t="s">
        <v>662</v>
      </c>
    </row>
    <row r="12" spans="1:11" x14ac:dyDescent="0.25">
      <c r="D12" s="2" t="s">
        <v>1</v>
      </c>
      <c r="E12" s="1" t="s">
        <v>661</v>
      </c>
      <c r="G12" t="s">
        <v>36</v>
      </c>
      <c r="H12" t="s">
        <v>0</v>
      </c>
      <c r="J12" t="str">
        <f t="shared" ref="J12:J23" si="1">H12</f>
        <v>Static Hydraulic Core</v>
      </c>
      <c r="K12" t="str">
        <f t="shared" ref="K12:K23" si="2">K$2&amp;"-"&amp;$G12</f>
        <v>S-HPA</v>
      </c>
    </row>
    <row r="13" spans="1:11" x14ac:dyDescent="0.25">
      <c r="D13" s="2" t="s">
        <v>1</v>
      </c>
      <c r="E13" s="1" t="s">
        <v>660</v>
      </c>
      <c r="G13" t="s">
        <v>34</v>
      </c>
      <c r="H13" t="s">
        <v>0</v>
      </c>
      <c r="J13" t="str">
        <f t="shared" si="1"/>
        <v>Static Hydraulic Core</v>
      </c>
      <c r="K13" t="str">
        <f t="shared" si="2"/>
        <v>S-HPB</v>
      </c>
    </row>
    <row r="14" spans="1:11" x14ac:dyDescent="0.25">
      <c r="D14" s="2" t="s">
        <v>1</v>
      </c>
      <c r="E14" s="1" t="s">
        <v>659</v>
      </c>
      <c r="G14" t="s">
        <v>586</v>
      </c>
      <c r="H14" t="s">
        <v>0</v>
      </c>
      <c r="J14" t="str">
        <f t="shared" si="1"/>
        <v>Static Hydraulic Core</v>
      </c>
      <c r="K14" t="str">
        <f t="shared" si="2"/>
        <v>S-LFA</v>
      </c>
    </row>
    <row r="15" spans="1:11" x14ac:dyDescent="0.25">
      <c r="D15" s="2" t="s">
        <v>1</v>
      </c>
      <c r="E15" s="1" t="s">
        <v>658</v>
      </c>
      <c r="G15" t="s">
        <v>30</v>
      </c>
      <c r="H15" t="s">
        <v>0</v>
      </c>
      <c r="J15" t="str">
        <f t="shared" si="1"/>
        <v>Static Hydraulic Core</v>
      </c>
      <c r="K15" t="str">
        <f t="shared" si="2"/>
        <v>S-LPB</v>
      </c>
    </row>
    <row r="16" spans="1:11" x14ac:dyDescent="0.25">
      <c r="D16" s="2" t="s">
        <v>1</v>
      </c>
      <c r="E16" s="1" t="s">
        <v>657</v>
      </c>
      <c r="G16" t="s">
        <v>462</v>
      </c>
      <c r="H16" t="s">
        <v>6</v>
      </c>
      <c r="J16" t="str">
        <f t="shared" si="1"/>
        <v>Static Electric Core</v>
      </c>
      <c r="K16" t="str">
        <f t="shared" si="2"/>
        <v>S-PA</v>
      </c>
    </row>
    <row r="17" spans="4:11" x14ac:dyDescent="0.25">
      <c r="D17" s="2" t="s">
        <v>1</v>
      </c>
      <c r="E17" s="1" t="s">
        <v>656</v>
      </c>
      <c r="G17" t="s">
        <v>460</v>
      </c>
      <c r="H17" t="s">
        <v>6</v>
      </c>
      <c r="J17" t="str">
        <f t="shared" si="1"/>
        <v>Static Electric Core</v>
      </c>
      <c r="K17" t="str">
        <f t="shared" si="2"/>
        <v>S-PB</v>
      </c>
    </row>
    <row r="18" spans="4:11" x14ac:dyDescent="0.25">
      <c r="D18" s="2" t="s">
        <v>1</v>
      </c>
      <c r="E18" s="1" t="s">
        <v>677</v>
      </c>
      <c r="G18" t="s">
        <v>26</v>
      </c>
      <c r="H18" t="s">
        <v>1</v>
      </c>
      <c r="J18" t="str">
        <f t="shared" si="1"/>
        <v>Hydraulic Coupling</v>
      </c>
      <c r="K18" t="str">
        <f t="shared" si="2"/>
        <v>S-D1</v>
      </c>
    </row>
    <row r="19" spans="4:11" x14ac:dyDescent="0.25">
      <c r="D19" s="2" t="s">
        <v>1</v>
      </c>
      <c r="E19" s="1" t="s">
        <v>675</v>
      </c>
      <c r="G19" t="s">
        <v>25</v>
      </c>
      <c r="H19" t="s">
        <v>1</v>
      </c>
      <c r="J19" t="str">
        <f t="shared" si="1"/>
        <v>Hydraulic Coupling</v>
      </c>
      <c r="K19" t="str">
        <f t="shared" si="2"/>
        <v>S-D2</v>
      </c>
    </row>
    <row r="20" spans="4:11" x14ac:dyDescent="0.25">
      <c r="D20" s="2" t="s">
        <v>1</v>
      </c>
      <c r="E20" s="1" t="s">
        <v>673</v>
      </c>
      <c r="G20" t="s">
        <v>23</v>
      </c>
      <c r="H20" t="s">
        <v>1</v>
      </c>
      <c r="J20" t="str">
        <f t="shared" si="1"/>
        <v>Hydraulic Coupling</v>
      </c>
      <c r="K20" t="str">
        <f t="shared" si="2"/>
        <v>S-D3</v>
      </c>
    </row>
    <row r="21" spans="4:11" x14ac:dyDescent="0.25">
      <c r="D21" s="2" t="s">
        <v>1</v>
      </c>
      <c r="E21" s="1" t="s">
        <v>672</v>
      </c>
      <c r="G21" t="s">
        <v>21</v>
      </c>
      <c r="H21" t="s">
        <v>1</v>
      </c>
      <c r="J21" t="str">
        <f t="shared" si="1"/>
        <v>Hydraulic Coupling</v>
      </c>
      <c r="K21" t="str">
        <f t="shared" si="2"/>
        <v>S-D4</v>
      </c>
    </row>
    <row r="22" spans="4:11" x14ac:dyDescent="0.25">
      <c r="D22" s="2" t="s">
        <v>1</v>
      </c>
      <c r="E22" s="1" t="s">
        <v>671</v>
      </c>
      <c r="G22" t="s">
        <v>18</v>
      </c>
      <c r="H22" t="s">
        <v>5</v>
      </c>
      <c r="J22" t="str">
        <f t="shared" si="1"/>
        <v>Power/Signal Coupling</v>
      </c>
      <c r="K22" t="str">
        <f t="shared" si="2"/>
        <v>S-D5</v>
      </c>
    </row>
    <row r="23" spans="4:11" x14ac:dyDescent="0.25">
      <c r="D23" s="2" t="s">
        <v>1</v>
      </c>
      <c r="E23" s="1" t="s">
        <v>670</v>
      </c>
      <c r="G23" t="s">
        <v>8</v>
      </c>
      <c r="H23" t="s">
        <v>5</v>
      </c>
      <c r="J23" t="str">
        <f t="shared" si="1"/>
        <v>Power/Signal Coupling</v>
      </c>
      <c r="K23" t="str">
        <f t="shared" si="2"/>
        <v>S-D6</v>
      </c>
    </row>
    <row r="24" spans="4:11" x14ac:dyDescent="0.25">
      <c r="D24" s="2" t="s">
        <v>1</v>
      </c>
      <c r="E24" s="1" t="s">
        <v>669</v>
      </c>
    </row>
    <row r="25" spans="4:11" x14ac:dyDescent="0.25">
      <c r="D25" s="2" t="s">
        <v>1</v>
      </c>
      <c r="E25" s="1" t="s">
        <v>668</v>
      </c>
      <c r="I25" t="s">
        <v>685</v>
      </c>
    </row>
    <row r="26" spans="4:11" x14ac:dyDescent="0.25">
      <c r="D26" s="2" t="s">
        <v>1</v>
      </c>
      <c r="E26" s="1" t="s">
        <v>667</v>
      </c>
      <c r="G26" t="s">
        <v>692</v>
      </c>
      <c r="H26" t="s">
        <v>6</v>
      </c>
      <c r="I26" t="str">
        <f t="shared" ref="I26:I45" si="3">I$25&amp;"-"&amp;$G26</f>
        <v>W-PTT1PTT2</v>
      </c>
    </row>
    <row r="27" spans="4:11" x14ac:dyDescent="0.25">
      <c r="D27" s="2" t="s">
        <v>5</v>
      </c>
      <c r="E27" s="1" t="s">
        <v>687</v>
      </c>
      <c r="G27" t="s">
        <v>691</v>
      </c>
      <c r="H27" t="s">
        <v>6</v>
      </c>
      <c r="I27" t="str">
        <f t="shared" si="3"/>
        <v>W-PDTZT</v>
      </c>
    </row>
    <row r="28" spans="4:11" x14ac:dyDescent="0.25">
      <c r="D28" s="2" t="s">
        <v>5</v>
      </c>
      <c r="E28" s="1" t="s">
        <v>686</v>
      </c>
      <c r="G28" t="s">
        <v>682</v>
      </c>
      <c r="H28" t="s">
        <v>0</v>
      </c>
      <c r="I28" t="str">
        <f t="shared" si="3"/>
        <v>W-SCSSV2</v>
      </c>
    </row>
    <row r="29" spans="4:11" x14ac:dyDescent="0.25">
      <c r="D29" s="2" t="s">
        <v>100</v>
      </c>
      <c r="E29" s="1" t="s">
        <v>485</v>
      </c>
      <c r="G29" t="s">
        <v>690</v>
      </c>
      <c r="H29" t="s">
        <v>0</v>
      </c>
      <c r="I29" t="str">
        <f t="shared" si="3"/>
        <v>W-IMV2</v>
      </c>
    </row>
    <row r="30" spans="4:11" x14ac:dyDescent="0.25">
      <c r="D30" s="2" t="s">
        <v>100</v>
      </c>
      <c r="E30" s="1" t="s">
        <v>633</v>
      </c>
      <c r="G30" t="s">
        <v>680</v>
      </c>
      <c r="H30" t="s">
        <v>0</v>
      </c>
      <c r="I30" t="str">
        <f t="shared" si="3"/>
        <v>W-IWV2</v>
      </c>
    </row>
    <row r="31" spans="4:11" x14ac:dyDescent="0.25">
      <c r="D31" s="2" t="s">
        <v>100</v>
      </c>
      <c r="E31" s="1" t="s">
        <v>487</v>
      </c>
      <c r="G31" t="s">
        <v>679</v>
      </c>
      <c r="H31" t="s">
        <v>0</v>
      </c>
      <c r="I31" t="str">
        <f t="shared" si="3"/>
        <v>W-AMV2</v>
      </c>
    </row>
    <row r="32" spans="4:11" x14ac:dyDescent="0.25">
      <c r="D32" s="2" t="s">
        <v>100</v>
      </c>
      <c r="E32" s="1" t="s">
        <v>632</v>
      </c>
      <c r="G32" t="s">
        <v>678</v>
      </c>
      <c r="H32" t="s">
        <v>0</v>
      </c>
      <c r="I32" t="str">
        <f t="shared" si="3"/>
        <v>W-XOV2</v>
      </c>
    </row>
    <row r="33" spans="4:9" x14ac:dyDescent="0.25">
      <c r="D33" s="2" t="s">
        <v>100</v>
      </c>
      <c r="E33" s="1" t="s">
        <v>631</v>
      </c>
      <c r="G33" t="s">
        <v>689</v>
      </c>
      <c r="H33" t="s">
        <v>0</v>
      </c>
      <c r="I33" t="str">
        <f t="shared" si="3"/>
        <v>W-ICO2</v>
      </c>
    </row>
    <row r="34" spans="4:9" x14ac:dyDescent="0.25">
      <c r="D34" s="2" t="s">
        <v>100</v>
      </c>
      <c r="E34" s="1" t="s">
        <v>564</v>
      </c>
      <c r="G34" t="s">
        <v>688</v>
      </c>
      <c r="H34" t="s">
        <v>0</v>
      </c>
      <c r="I34" t="str">
        <f t="shared" si="3"/>
        <v>W-ICC2</v>
      </c>
    </row>
    <row r="35" spans="4:9" x14ac:dyDescent="0.25">
      <c r="D35" s="2" t="s">
        <v>100</v>
      </c>
      <c r="E35" s="1" t="s">
        <v>486</v>
      </c>
      <c r="G35" t="s">
        <v>26</v>
      </c>
      <c r="H35" t="s">
        <v>1</v>
      </c>
      <c r="I35" t="str">
        <f t="shared" si="3"/>
        <v>W-D1</v>
      </c>
    </row>
    <row r="36" spans="4:9" x14ac:dyDescent="0.25">
      <c r="D36" s="2" t="s">
        <v>100</v>
      </c>
      <c r="E36" s="1" t="s">
        <v>623</v>
      </c>
      <c r="G36" t="s">
        <v>25</v>
      </c>
      <c r="H36" t="s">
        <v>1</v>
      </c>
      <c r="I36" t="str">
        <f t="shared" si="3"/>
        <v>W-D2</v>
      </c>
    </row>
    <row r="37" spans="4:9" x14ac:dyDescent="0.25">
      <c r="D37" s="2" t="s">
        <v>555</v>
      </c>
      <c r="E37" s="1" t="s">
        <v>556</v>
      </c>
      <c r="G37" t="s">
        <v>23</v>
      </c>
      <c r="H37" t="s">
        <v>1</v>
      </c>
      <c r="I37" t="str">
        <f t="shared" si="3"/>
        <v>W-D3</v>
      </c>
    </row>
    <row r="38" spans="4:9" x14ac:dyDescent="0.25">
      <c r="D38" s="2" t="s">
        <v>555</v>
      </c>
      <c r="E38" s="1" t="s">
        <v>554</v>
      </c>
      <c r="G38" t="s">
        <v>21</v>
      </c>
      <c r="H38" t="s">
        <v>1</v>
      </c>
      <c r="I38" t="str">
        <f t="shared" si="3"/>
        <v>W-D4</v>
      </c>
    </row>
    <row r="39" spans="4:9" x14ac:dyDescent="0.25">
      <c r="D39" s="2" t="s">
        <v>555</v>
      </c>
      <c r="E39" s="1" t="s">
        <v>610</v>
      </c>
      <c r="G39" t="s">
        <v>18</v>
      </c>
      <c r="H39" t="s">
        <v>1</v>
      </c>
      <c r="I39" t="str">
        <f t="shared" si="3"/>
        <v>W-D5</v>
      </c>
    </row>
    <row r="40" spans="4:9" x14ac:dyDescent="0.25">
      <c r="D40" s="2" t="s">
        <v>555</v>
      </c>
      <c r="E40" s="1" t="s">
        <v>609</v>
      </c>
      <c r="G40" t="s">
        <v>8</v>
      </c>
      <c r="H40" t="s">
        <v>1</v>
      </c>
      <c r="I40" t="str">
        <f t="shared" si="3"/>
        <v>W-D6</v>
      </c>
    </row>
    <row r="41" spans="4:9" x14ac:dyDescent="0.25">
      <c r="D41" s="2" t="s">
        <v>552</v>
      </c>
      <c r="E41" s="1" t="s">
        <v>553</v>
      </c>
      <c r="G41" t="s">
        <v>17</v>
      </c>
      <c r="H41" t="s">
        <v>1</v>
      </c>
      <c r="I41" t="str">
        <f t="shared" si="3"/>
        <v>W-D7</v>
      </c>
    </row>
    <row r="42" spans="4:9" x14ac:dyDescent="0.25">
      <c r="D42" s="2" t="s">
        <v>552</v>
      </c>
      <c r="E42" s="1" t="s">
        <v>629</v>
      </c>
      <c r="G42" t="s">
        <v>15</v>
      </c>
      <c r="H42" t="s">
        <v>1</v>
      </c>
      <c r="I42" t="str">
        <f t="shared" si="3"/>
        <v>W-D8</v>
      </c>
    </row>
    <row r="43" spans="4:9" x14ac:dyDescent="0.25">
      <c r="D43" s="2" t="s">
        <v>552</v>
      </c>
      <c r="E43" s="1" t="s">
        <v>550</v>
      </c>
      <c r="G43" t="s">
        <v>244</v>
      </c>
      <c r="H43" t="s">
        <v>1</v>
      </c>
      <c r="I43" t="str">
        <f t="shared" si="3"/>
        <v>W-D9</v>
      </c>
    </row>
    <row r="44" spans="4:9" x14ac:dyDescent="0.25">
      <c r="D44" s="2" t="s">
        <v>552</v>
      </c>
      <c r="E44" s="1" t="s">
        <v>549</v>
      </c>
      <c r="G44" t="s">
        <v>474</v>
      </c>
      <c r="H44" t="s">
        <v>5</v>
      </c>
      <c r="I44" t="str">
        <f t="shared" si="3"/>
        <v>W-D10</v>
      </c>
    </row>
    <row r="45" spans="4:9" x14ac:dyDescent="0.25">
      <c r="D45" s="2" t="s">
        <v>552</v>
      </c>
      <c r="E45" s="1" t="s">
        <v>545</v>
      </c>
      <c r="G45" t="s">
        <v>472</v>
      </c>
      <c r="H45" t="s">
        <v>5</v>
      </c>
      <c r="I45" t="str">
        <f t="shared" si="3"/>
        <v>W-D11</v>
      </c>
    </row>
    <row r="46" spans="4:9" x14ac:dyDescent="0.25">
      <c r="D46" s="2" t="s">
        <v>552</v>
      </c>
      <c r="E46" s="1" t="s">
        <v>544</v>
      </c>
    </row>
    <row r="47" spans="4:9" x14ac:dyDescent="0.25">
      <c r="D47" s="2" t="s">
        <v>552</v>
      </c>
      <c r="E47" s="1" t="s">
        <v>543</v>
      </c>
    </row>
    <row r="48" spans="4:9" x14ac:dyDescent="0.25">
      <c r="D48" s="2" t="s">
        <v>552</v>
      </c>
      <c r="E48" s="1" t="s">
        <v>542</v>
      </c>
    </row>
    <row r="49" spans="4:5" x14ac:dyDescent="0.25">
      <c r="D49" s="2" t="s">
        <v>540</v>
      </c>
      <c r="E49" s="1" t="s">
        <v>638</v>
      </c>
    </row>
    <row r="50" spans="4:5" x14ac:dyDescent="0.25">
      <c r="D50" s="2" t="s">
        <v>66</v>
      </c>
      <c r="E50" s="1" t="s">
        <v>626</v>
      </c>
    </row>
    <row r="51" spans="4:5" x14ac:dyDescent="0.25">
      <c r="D51" s="2" t="s">
        <v>66</v>
      </c>
      <c r="E51" s="1" t="s">
        <v>535</v>
      </c>
    </row>
    <row r="52" spans="4:5" x14ac:dyDescent="0.25">
      <c r="D52" s="2" t="s">
        <v>66</v>
      </c>
      <c r="E52" s="1" t="s">
        <v>525</v>
      </c>
    </row>
    <row r="53" spans="4:5" x14ac:dyDescent="0.25">
      <c r="D53" s="2" t="s">
        <v>66</v>
      </c>
      <c r="E53" s="1" t="s">
        <v>526</v>
      </c>
    </row>
    <row r="54" spans="4:5" x14ac:dyDescent="0.25">
      <c r="D54" s="2" t="s">
        <v>66</v>
      </c>
      <c r="E54" s="1" t="s">
        <v>524</v>
      </c>
    </row>
    <row r="55" spans="4:5" x14ac:dyDescent="0.25">
      <c r="D55" s="2" t="s">
        <v>66</v>
      </c>
      <c r="E55" s="1" t="s">
        <v>636</v>
      </c>
    </row>
    <row r="56" spans="4:5" x14ac:dyDescent="0.25">
      <c r="D56" s="2" t="s">
        <v>66</v>
      </c>
      <c r="E56" s="1" t="s">
        <v>635</v>
      </c>
    </row>
    <row r="57" spans="4:5" x14ac:dyDescent="0.25">
      <c r="D57" s="2" t="s">
        <v>66</v>
      </c>
      <c r="E57" s="1" t="s">
        <v>634</v>
      </c>
    </row>
    <row r="58" spans="4:5" x14ac:dyDescent="0.25">
      <c r="D58" s="2" t="s">
        <v>66</v>
      </c>
      <c r="E58" s="1" t="s">
        <v>532</v>
      </c>
    </row>
    <row r="59" spans="4:5" x14ac:dyDescent="0.25">
      <c r="D59" s="2" t="s">
        <v>66</v>
      </c>
      <c r="E59" s="1" t="s">
        <v>531</v>
      </c>
    </row>
    <row r="60" spans="4:5" x14ac:dyDescent="0.25">
      <c r="D60" s="2" t="s">
        <v>66</v>
      </c>
      <c r="E60" s="1" t="s">
        <v>530</v>
      </c>
    </row>
    <row r="61" spans="4:5" x14ac:dyDescent="0.25">
      <c r="D61" s="2" t="s">
        <v>66</v>
      </c>
      <c r="E61" s="1" t="s">
        <v>534</v>
      </c>
    </row>
  </sheetData>
  <dataValidations count="2">
    <dataValidation type="list" allowBlank="1" showInputMessage="1" showErrorMessage="1" sqref="H26:H45 H3:H23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41"/>
  <sheetViews>
    <sheetView topLeftCell="A13" workbookViewId="0">
      <selection activeCell="D3" sqref="D3:E41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7" max="7" width="9.28515625" bestFit="1" customWidth="1"/>
    <col min="8" max="8" width="21.5703125" bestFit="1" customWidth="1"/>
    <col min="9" max="9" width="8.140625" bestFit="1" customWidth="1"/>
  </cols>
  <sheetData>
    <row r="1" spans="1:9" s="13" customFormat="1" x14ac:dyDescent="0.25">
      <c r="A1" s="14" t="s">
        <v>727</v>
      </c>
      <c r="B1" s="9" t="s">
        <v>729</v>
      </c>
      <c r="C1" s="3"/>
    </row>
    <row r="2" spans="1:9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268</v>
      </c>
    </row>
    <row r="3" spans="1:9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W18</v>
      </c>
      <c r="D3" s="2" t="s">
        <v>64</v>
      </c>
      <c r="G3" t="s">
        <v>485</v>
      </c>
      <c r="H3" t="s">
        <v>0</v>
      </c>
      <c r="I3" t="str">
        <f t="shared" ref="I3:I23" si="0">I$2&amp;"-"&amp;$G3</f>
        <v>S-SCSSV</v>
      </c>
    </row>
    <row r="4" spans="1:9" x14ac:dyDescent="0.25">
      <c r="D4" s="2" t="s">
        <v>1</v>
      </c>
      <c r="E4" s="1" t="s">
        <v>211</v>
      </c>
      <c r="G4" t="s">
        <v>490</v>
      </c>
      <c r="H4" t="s">
        <v>0</v>
      </c>
      <c r="I4" t="str">
        <f t="shared" si="0"/>
        <v>S-IMV</v>
      </c>
    </row>
    <row r="5" spans="1:9" x14ac:dyDescent="0.25">
      <c r="D5" s="2" t="s">
        <v>1</v>
      </c>
      <c r="E5" s="1" t="s">
        <v>210</v>
      </c>
      <c r="G5" t="s">
        <v>487</v>
      </c>
      <c r="H5" t="s">
        <v>0</v>
      </c>
      <c r="I5" t="str">
        <f t="shared" si="0"/>
        <v>S-AMV</v>
      </c>
    </row>
    <row r="6" spans="1:9" x14ac:dyDescent="0.25">
      <c r="D6" s="2" t="s">
        <v>1</v>
      </c>
      <c r="E6" s="1" t="s">
        <v>209</v>
      </c>
      <c r="G6" t="s">
        <v>486</v>
      </c>
      <c r="H6" t="s">
        <v>0</v>
      </c>
      <c r="I6" t="str">
        <f t="shared" si="0"/>
        <v>S-XOV</v>
      </c>
    </row>
    <row r="7" spans="1:9" x14ac:dyDescent="0.25">
      <c r="D7" s="2" t="s">
        <v>1</v>
      </c>
      <c r="E7" s="1" t="s">
        <v>208</v>
      </c>
      <c r="G7" t="s">
        <v>632</v>
      </c>
      <c r="H7" t="s">
        <v>0</v>
      </c>
      <c r="I7" t="str">
        <f t="shared" si="0"/>
        <v>S-IWV</v>
      </c>
    </row>
    <row r="8" spans="1:9" x14ac:dyDescent="0.25">
      <c r="D8" s="2" t="s">
        <v>1</v>
      </c>
      <c r="E8" s="1" t="s">
        <v>207</v>
      </c>
      <c r="G8" t="s">
        <v>697</v>
      </c>
      <c r="H8" t="s">
        <v>0</v>
      </c>
      <c r="I8" t="str">
        <f t="shared" si="0"/>
        <v>S-ICO</v>
      </c>
    </row>
    <row r="9" spans="1:9" x14ac:dyDescent="0.25">
      <c r="D9" s="2" t="s">
        <v>1</v>
      </c>
      <c r="E9" s="1" t="s">
        <v>206</v>
      </c>
      <c r="G9" t="s">
        <v>696</v>
      </c>
      <c r="H9" t="s">
        <v>0</v>
      </c>
      <c r="I9" t="str">
        <f t="shared" si="0"/>
        <v>S-ICC</v>
      </c>
    </row>
    <row r="10" spans="1:9" x14ac:dyDescent="0.25">
      <c r="D10" s="2" t="s">
        <v>1</v>
      </c>
      <c r="E10" s="1" t="s">
        <v>205</v>
      </c>
      <c r="G10" t="s">
        <v>691</v>
      </c>
      <c r="H10" t="s">
        <v>6</v>
      </c>
      <c r="I10" t="str">
        <f t="shared" si="0"/>
        <v>S-PDTZT</v>
      </c>
    </row>
    <row r="11" spans="1:9" x14ac:dyDescent="0.25">
      <c r="D11" s="2" t="s">
        <v>1</v>
      </c>
      <c r="E11" s="1" t="s">
        <v>204</v>
      </c>
      <c r="G11" t="s">
        <v>692</v>
      </c>
      <c r="H11" t="s">
        <v>6</v>
      </c>
      <c r="I11" t="str">
        <f t="shared" si="0"/>
        <v>S-PTT1PTT2</v>
      </c>
    </row>
    <row r="12" spans="1:9" x14ac:dyDescent="0.25">
      <c r="D12" s="2" t="s">
        <v>1</v>
      </c>
      <c r="E12" s="1" t="s">
        <v>203</v>
      </c>
      <c r="G12" t="s">
        <v>26</v>
      </c>
      <c r="H12" t="s">
        <v>1</v>
      </c>
      <c r="I12" t="str">
        <f t="shared" si="0"/>
        <v>S-D1</v>
      </c>
    </row>
    <row r="13" spans="1:9" x14ac:dyDescent="0.25">
      <c r="D13" s="2" t="s">
        <v>5</v>
      </c>
      <c r="E13" s="1" t="s">
        <v>307</v>
      </c>
      <c r="G13" t="s">
        <v>25</v>
      </c>
      <c r="H13" t="s">
        <v>1</v>
      </c>
      <c r="I13" t="str">
        <f t="shared" si="0"/>
        <v>S-D2</v>
      </c>
    </row>
    <row r="14" spans="1:9" x14ac:dyDescent="0.25">
      <c r="D14" s="2" t="s">
        <v>1</v>
      </c>
      <c r="E14" s="1" t="s">
        <v>695</v>
      </c>
      <c r="G14" t="s">
        <v>23</v>
      </c>
      <c r="H14" t="s">
        <v>1</v>
      </c>
      <c r="I14" t="str">
        <f t="shared" si="0"/>
        <v>S-D3</v>
      </c>
    </row>
    <row r="15" spans="1:9" x14ac:dyDescent="0.25">
      <c r="D15" s="2" t="s">
        <v>5</v>
      </c>
      <c r="E15" s="1" t="s">
        <v>694</v>
      </c>
      <c r="G15" t="s">
        <v>21</v>
      </c>
      <c r="H15" t="s">
        <v>1</v>
      </c>
      <c r="I15" t="str">
        <f t="shared" si="0"/>
        <v>S-D4</v>
      </c>
    </row>
    <row r="16" spans="1:9" x14ac:dyDescent="0.25">
      <c r="D16" s="2" t="s">
        <v>100</v>
      </c>
      <c r="E16" s="1" t="s">
        <v>485</v>
      </c>
      <c r="G16" t="s">
        <v>18</v>
      </c>
      <c r="H16" t="s">
        <v>1</v>
      </c>
      <c r="I16" t="str">
        <f t="shared" si="0"/>
        <v>S-D5</v>
      </c>
    </row>
    <row r="17" spans="4:9" x14ac:dyDescent="0.25">
      <c r="D17" s="2" t="s">
        <v>100</v>
      </c>
      <c r="E17" s="1" t="s">
        <v>633</v>
      </c>
      <c r="G17" t="s">
        <v>8</v>
      </c>
      <c r="H17" t="s">
        <v>1</v>
      </c>
      <c r="I17" t="str">
        <f t="shared" si="0"/>
        <v>S-D6</v>
      </c>
    </row>
    <row r="18" spans="4:9" x14ac:dyDescent="0.25">
      <c r="D18" s="2" t="s">
        <v>100</v>
      </c>
      <c r="E18" s="1" t="s">
        <v>487</v>
      </c>
      <c r="G18" t="s">
        <v>17</v>
      </c>
      <c r="H18" t="s">
        <v>1</v>
      </c>
      <c r="I18" t="str">
        <f t="shared" si="0"/>
        <v>S-D7</v>
      </c>
    </row>
    <row r="19" spans="4:9" x14ac:dyDescent="0.25">
      <c r="D19" s="2" t="s">
        <v>100</v>
      </c>
      <c r="E19" s="1" t="s">
        <v>632</v>
      </c>
      <c r="G19" t="s">
        <v>15</v>
      </c>
      <c r="H19" t="s">
        <v>1</v>
      </c>
      <c r="I19" t="str">
        <f t="shared" si="0"/>
        <v>S-D8</v>
      </c>
    </row>
    <row r="20" spans="4:9" x14ac:dyDescent="0.25">
      <c r="D20" s="2" t="s">
        <v>100</v>
      </c>
      <c r="E20" s="1" t="s">
        <v>631</v>
      </c>
      <c r="G20" t="s">
        <v>244</v>
      </c>
      <c r="H20" t="s">
        <v>1</v>
      </c>
      <c r="I20" t="str">
        <f t="shared" si="0"/>
        <v>S-D9</v>
      </c>
    </row>
    <row r="21" spans="4:9" x14ac:dyDescent="0.25">
      <c r="D21" s="2" t="s">
        <v>100</v>
      </c>
      <c r="E21" s="1" t="s">
        <v>564</v>
      </c>
      <c r="G21" t="s">
        <v>474</v>
      </c>
      <c r="H21" t="s">
        <v>5</v>
      </c>
      <c r="I21" t="str">
        <f t="shared" si="0"/>
        <v>S-D10</v>
      </c>
    </row>
    <row r="22" spans="4:9" x14ac:dyDescent="0.25">
      <c r="D22" s="2" t="s">
        <v>100</v>
      </c>
      <c r="E22" s="1" t="s">
        <v>486</v>
      </c>
      <c r="G22" t="s">
        <v>472</v>
      </c>
      <c r="H22" t="s">
        <v>1</v>
      </c>
      <c r="I22" t="str">
        <f t="shared" si="0"/>
        <v>S-D11</v>
      </c>
    </row>
    <row r="23" spans="4:9" x14ac:dyDescent="0.25">
      <c r="D23" s="2" t="s">
        <v>100</v>
      </c>
      <c r="E23" s="1" t="s">
        <v>623</v>
      </c>
      <c r="G23" t="s">
        <v>470</v>
      </c>
      <c r="H23" t="s">
        <v>5</v>
      </c>
      <c r="I23" t="str">
        <f t="shared" si="0"/>
        <v>S-D12</v>
      </c>
    </row>
    <row r="24" spans="4:9" x14ac:dyDescent="0.25">
      <c r="D24" s="2" t="s">
        <v>555</v>
      </c>
      <c r="E24" s="1" t="s">
        <v>693</v>
      </c>
    </row>
    <row r="25" spans="4:9" x14ac:dyDescent="0.25">
      <c r="D25" s="2" t="s">
        <v>552</v>
      </c>
      <c r="E25" s="1" t="s">
        <v>553</v>
      </c>
    </row>
    <row r="26" spans="4:9" x14ac:dyDescent="0.25">
      <c r="D26" s="2" t="s">
        <v>552</v>
      </c>
      <c r="E26" s="1" t="s">
        <v>629</v>
      </c>
    </row>
    <row r="27" spans="4:9" x14ac:dyDescent="0.25">
      <c r="D27" s="2" t="s">
        <v>552</v>
      </c>
      <c r="E27" s="1" t="s">
        <v>550</v>
      </c>
    </row>
    <row r="28" spans="4:9" x14ac:dyDescent="0.25">
      <c r="D28" s="2" t="s">
        <v>552</v>
      </c>
      <c r="E28" s="1" t="s">
        <v>549</v>
      </c>
    </row>
    <row r="29" spans="4:9" x14ac:dyDescent="0.25">
      <c r="D29" s="2" t="s">
        <v>540</v>
      </c>
      <c r="E29" s="1" t="s">
        <v>638</v>
      </c>
    </row>
    <row r="30" spans="4:9" x14ac:dyDescent="0.25">
      <c r="D30" s="2" t="s">
        <v>66</v>
      </c>
      <c r="E30" s="1" t="s">
        <v>626</v>
      </c>
    </row>
    <row r="31" spans="4:9" x14ac:dyDescent="0.25">
      <c r="D31" s="2" t="s">
        <v>66</v>
      </c>
      <c r="E31" s="1" t="s">
        <v>535</v>
      </c>
    </row>
    <row r="32" spans="4:9" x14ac:dyDescent="0.25">
      <c r="D32" s="2" t="s">
        <v>66</v>
      </c>
      <c r="E32" s="1" t="s">
        <v>525</v>
      </c>
    </row>
    <row r="33" spans="4:5" x14ac:dyDescent="0.25">
      <c r="D33" s="2" t="s">
        <v>66</v>
      </c>
      <c r="E33" s="1" t="s">
        <v>526</v>
      </c>
    </row>
    <row r="34" spans="4:5" x14ac:dyDescent="0.25">
      <c r="D34" s="2" t="s">
        <v>66</v>
      </c>
      <c r="E34" s="1" t="s">
        <v>524</v>
      </c>
    </row>
    <row r="35" spans="4:5" x14ac:dyDescent="0.25">
      <c r="D35" s="2" t="s">
        <v>66</v>
      </c>
      <c r="E35" s="1" t="s">
        <v>636</v>
      </c>
    </row>
    <row r="36" spans="4:5" x14ac:dyDescent="0.25">
      <c r="D36" s="2" t="s">
        <v>66</v>
      </c>
      <c r="E36" s="1" t="s">
        <v>635</v>
      </c>
    </row>
    <row r="37" spans="4:5" x14ac:dyDescent="0.25">
      <c r="D37" s="2" t="s">
        <v>66</v>
      </c>
      <c r="E37" s="1" t="s">
        <v>634</v>
      </c>
    </row>
    <row r="38" spans="4:5" x14ac:dyDescent="0.25">
      <c r="D38" s="2" t="s">
        <v>66</v>
      </c>
      <c r="E38" s="1" t="s">
        <v>532</v>
      </c>
    </row>
    <row r="39" spans="4:5" x14ac:dyDescent="0.25">
      <c r="D39" s="2" t="s">
        <v>66</v>
      </c>
      <c r="E39" s="1" t="s">
        <v>531</v>
      </c>
    </row>
    <row r="40" spans="4:5" x14ac:dyDescent="0.25">
      <c r="D40" s="2" t="s">
        <v>66</v>
      </c>
      <c r="E40" s="1" t="s">
        <v>530</v>
      </c>
    </row>
    <row r="41" spans="4:5" x14ac:dyDescent="0.25">
      <c r="D41" s="2" t="s">
        <v>66</v>
      </c>
      <c r="E41" s="1" t="s">
        <v>534</v>
      </c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69"/>
  <sheetViews>
    <sheetView topLeftCell="A41" workbookViewId="0">
      <selection activeCell="D3" sqref="D3:E69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729</v>
      </c>
      <c r="C1" s="3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  <c r="I2" s="6" t="s">
        <v>664</v>
      </c>
      <c r="K2" s="6" t="s">
        <v>268</v>
      </c>
    </row>
    <row r="3" spans="1:11" x14ac:dyDescent="0.25">
      <c r="A3" s="3" t="str">
        <f ca="1">INDEX(INDIRECT("'Foinaven Data.xlsx'!"&amp;$B$1&amp;"[#Data]"),MATCH($C$3,INDIRECT("'Foinaven Data.xlsx'!"&amp;$B$1&amp;"[ID]"),0),MATCH(A2,INDIRECT("'Foinaven Data.xlsx'!"&amp;$B$1&amp;"[#Headers]"),0))</f>
        <v>Wellhead_and_XTree_Subsea_XTree</v>
      </c>
      <c r="B3" s="3" t="str">
        <f ca="1">INDEX(INDIRECT("'Foinaven Data.xlsx'!"&amp;$B$1&amp;"[#Data]"),MATCH($C$3,INDIRECT("'Foinaven Data.xlsx'!"&amp;$B$1&amp;"[ID]"),0),MATCH(B2,INDIRECT("'Foinaven Data.xlsx'!"&amp;$B$1&amp;"[#Headers]"),0))</f>
        <v>Water Injection</v>
      </c>
      <c r="C3" s="2" t="str">
        <f ca="1">MID(CELL("filename",A1),FIND("]",CELL("filename",A1))+1,255)</f>
        <v>W19</v>
      </c>
      <c r="D3" s="2" t="s">
        <v>64</v>
      </c>
      <c r="G3" t="s">
        <v>26</v>
      </c>
      <c r="H3" t="s">
        <v>1</v>
      </c>
      <c r="I3" t="str">
        <f t="shared" ref="I3:I10" si="0">I$2&amp;"-"&amp;$G3</f>
        <v>X-D1</v>
      </c>
    </row>
    <row r="4" spans="1:11" x14ac:dyDescent="0.25">
      <c r="D4" s="2" t="s">
        <v>1</v>
      </c>
      <c r="E4" s="1" t="s">
        <v>211</v>
      </c>
      <c r="G4" t="s">
        <v>25</v>
      </c>
      <c r="H4" t="s">
        <v>1</v>
      </c>
      <c r="I4" t="str">
        <f t="shared" si="0"/>
        <v>X-D2</v>
      </c>
    </row>
    <row r="5" spans="1:11" x14ac:dyDescent="0.25">
      <c r="D5" s="2" t="s">
        <v>1</v>
      </c>
      <c r="E5" s="1" t="s">
        <v>210</v>
      </c>
      <c r="G5" t="s">
        <v>23</v>
      </c>
      <c r="H5" t="s">
        <v>1</v>
      </c>
      <c r="I5" t="str">
        <f t="shared" si="0"/>
        <v>X-D3</v>
      </c>
    </row>
    <row r="6" spans="1:11" x14ac:dyDescent="0.25">
      <c r="D6" s="2" t="s">
        <v>1</v>
      </c>
      <c r="E6" s="1" t="s">
        <v>209</v>
      </c>
      <c r="G6" t="s">
        <v>21</v>
      </c>
      <c r="H6" t="s">
        <v>1</v>
      </c>
      <c r="I6" t="str">
        <f t="shared" si="0"/>
        <v>X-D4</v>
      </c>
    </row>
    <row r="7" spans="1:11" x14ac:dyDescent="0.25">
      <c r="D7" s="2" t="s">
        <v>1</v>
      </c>
      <c r="E7" s="1" t="s">
        <v>208</v>
      </c>
      <c r="G7" t="s">
        <v>18</v>
      </c>
      <c r="H7" t="s">
        <v>1</v>
      </c>
      <c r="I7" t="str">
        <f t="shared" si="0"/>
        <v>X-D5</v>
      </c>
    </row>
    <row r="8" spans="1:11" x14ac:dyDescent="0.25">
      <c r="D8" s="2" t="s">
        <v>5</v>
      </c>
      <c r="E8" s="1" t="s">
        <v>207</v>
      </c>
      <c r="G8" t="s">
        <v>8</v>
      </c>
      <c r="H8" t="s">
        <v>1</v>
      </c>
      <c r="I8" t="str">
        <f t="shared" si="0"/>
        <v>X-D6</v>
      </c>
    </row>
    <row r="9" spans="1:11" x14ac:dyDescent="0.25">
      <c r="D9" s="2" t="s">
        <v>5</v>
      </c>
      <c r="E9" s="1" t="s">
        <v>206</v>
      </c>
      <c r="G9" t="s">
        <v>17</v>
      </c>
      <c r="H9" t="s">
        <v>1</v>
      </c>
      <c r="I9" t="str">
        <f t="shared" si="0"/>
        <v>X-D7</v>
      </c>
    </row>
    <row r="10" spans="1:11" x14ac:dyDescent="0.25">
      <c r="D10" s="2" t="s">
        <v>1</v>
      </c>
      <c r="E10" s="1" t="s">
        <v>663</v>
      </c>
      <c r="G10" t="s">
        <v>15</v>
      </c>
      <c r="H10" t="s">
        <v>1</v>
      </c>
      <c r="I10" t="str">
        <f t="shared" si="0"/>
        <v>X-D8</v>
      </c>
    </row>
    <row r="11" spans="1:11" x14ac:dyDescent="0.25">
      <c r="D11" s="2" t="s">
        <v>1</v>
      </c>
      <c r="E11" s="1" t="s">
        <v>662</v>
      </c>
    </row>
    <row r="12" spans="1:11" x14ac:dyDescent="0.25">
      <c r="D12" s="2" t="s">
        <v>1</v>
      </c>
      <c r="E12" s="1" t="s">
        <v>661</v>
      </c>
      <c r="G12" t="s">
        <v>36</v>
      </c>
      <c r="H12" t="s">
        <v>0</v>
      </c>
      <c r="J12" t="str">
        <f t="shared" ref="J12:J23" si="1">H12</f>
        <v>Static Hydraulic Core</v>
      </c>
      <c r="K12" t="str">
        <f t="shared" ref="K12:K23" si="2">K$2&amp;"-"&amp;$G12</f>
        <v>S-HPA</v>
      </c>
    </row>
    <row r="13" spans="1:11" x14ac:dyDescent="0.25">
      <c r="D13" s="2" t="s">
        <v>1</v>
      </c>
      <c r="E13" s="1" t="s">
        <v>660</v>
      </c>
      <c r="G13" t="s">
        <v>34</v>
      </c>
      <c r="H13" t="s">
        <v>0</v>
      </c>
      <c r="J13" t="str">
        <f t="shared" si="1"/>
        <v>Static Hydraulic Core</v>
      </c>
      <c r="K13" t="str">
        <f t="shared" si="2"/>
        <v>S-HPB</v>
      </c>
    </row>
    <row r="14" spans="1:11" x14ac:dyDescent="0.25">
      <c r="D14" s="2" t="s">
        <v>1</v>
      </c>
      <c r="E14" s="1" t="s">
        <v>659</v>
      </c>
      <c r="G14" t="s">
        <v>586</v>
      </c>
      <c r="H14" t="s">
        <v>0</v>
      </c>
      <c r="J14" t="str">
        <f t="shared" si="1"/>
        <v>Static Hydraulic Core</v>
      </c>
      <c r="K14" t="str">
        <f t="shared" si="2"/>
        <v>S-LFA</v>
      </c>
    </row>
    <row r="15" spans="1:11" x14ac:dyDescent="0.25">
      <c r="D15" s="2" t="s">
        <v>1</v>
      </c>
      <c r="E15" s="1" t="s">
        <v>658</v>
      </c>
      <c r="G15" t="s">
        <v>30</v>
      </c>
      <c r="H15" t="s">
        <v>0</v>
      </c>
      <c r="J15" t="str">
        <f t="shared" si="1"/>
        <v>Static Hydraulic Core</v>
      </c>
      <c r="K15" t="str">
        <f t="shared" si="2"/>
        <v>S-LPB</v>
      </c>
    </row>
    <row r="16" spans="1:11" x14ac:dyDescent="0.25">
      <c r="D16" s="2" t="s">
        <v>1</v>
      </c>
      <c r="E16" s="1" t="s">
        <v>657</v>
      </c>
      <c r="G16" t="s">
        <v>462</v>
      </c>
      <c r="H16" t="s">
        <v>6</v>
      </c>
      <c r="J16" t="str">
        <f t="shared" si="1"/>
        <v>Static Electric Core</v>
      </c>
      <c r="K16" t="str">
        <f t="shared" si="2"/>
        <v>S-PA</v>
      </c>
    </row>
    <row r="17" spans="4:11" x14ac:dyDescent="0.25">
      <c r="D17" s="2" t="s">
        <v>1</v>
      </c>
      <c r="E17" s="1" t="s">
        <v>656</v>
      </c>
      <c r="G17" t="s">
        <v>460</v>
      </c>
      <c r="H17" t="s">
        <v>6</v>
      </c>
      <c r="J17" t="str">
        <f t="shared" si="1"/>
        <v>Static Electric Core</v>
      </c>
      <c r="K17" t="str">
        <f t="shared" si="2"/>
        <v>S-PB</v>
      </c>
    </row>
    <row r="18" spans="4:11" x14ac:dyDescent="0.25">
      <c r="D18" s="2" t="s">
        <v>5</v>
      </c>
      <c r="E18" s="1" t="s">
        <v>655</v>
      </c>
      <c r="G18" t="s">
        <v>26</v>
      </c>
      <c r="H18" t="s">
        <v>1</v>
      </c>
      <c r="J18" t="str">
        <f t="shared" si="1"/>
        <v>Hydraulic Coupling</v>
      </c>
      <c r="K18" t="str">
        <f t="shared" si="2"/>
        <v>S-D1</v>
      </c>
    </row>
    <row r="19" spans="4:11" x14ac:dyDescent="0.25">
      <c r="D19" s="2" t="s">
        <v>1</v>
      </c>
      <c r="E19" s="1" t="s">
        <v>654</v>
      </c>
      <c r="G19" t="s">
        <v>25</v>
      </c>
      <c r="H19" t="s">
        <v>1</v>
      </c>
      <c r="J19" t="str">
        <f t="shared" si="1"/>
        <v>Hydraulic Coupling</v>
      </c>
      <c r="K19" t="str">
        <f t="shared" si="2"/>
        <v>S-D2</v>
      </c>
    </row>
    <row r="20" spans="4:11" x14ac:dyDescent="0.25">
      <c r="D20" s="2" t="s">
        <v>1</v>
      </c>
      <c r="E20" s="1" t="s">
        <v>652</v>
      </c>
      <c r="G20" t="s">
        <v>23</v>
      </c>
      <c r="H20" t="s">
        <v>1</v>
      </c>
      <c r="J20" t="str">
        <f t="shared" si="1"/>
        <v>Hydraulic Coupling</v>
      </c>
      <c r="K20" t="str">
        <f t="shared" si="2"/>
        <v>S-D3</v>
      </c>
    </row>
    <row r="21" spans="4:11" x14ac:dyDescent="0.25">
      <c r="D21" s="2" t="s">
        <v>5</v>
      </c>
      <c r="E21" s="1" t="s">
        <v>651</v>
      </c>
      <c r="G21" t="s">
        <v>21</v>
      </c>
      <c r="H21" t="s">
        <v>1</v>
      </c>
      <c r="J21" t="str">
        <f t="shared" si="1"/>
        <v>Hydraulic Coupling</v>
      </c>
      <c r="K21" t="str">
        <f t="shared" si="2"/>
        <v>S-D4</v>
      </c>
    </row>
    <row r="22" spans="4:11" x14ac:dyDescent="0.25">
      <c r="D22" s="2" t="s">
        <v>1</v>
      </c>
      <c r="E22" s="1" t="s">
        <v>650</v>
      </c>
      <c r="G22" t="s">
        <v>18</v>
      </c>
      <c r="H22" t="s">
        <v>5</v>
      </c>
      <c r="J22" t="str">
        <f t="shared" si="1"/>
        <v>Power/Signal Coupling</v>
      </c>
      <c r="K22" t="str">
        <f t="shared" si="2"/>
        <v>S-D5</v>
      </c>
    </row>
    <row r="23" spans="4:11" x14ac:dyDescent="0.25">
      <c r="D23" s="2" t="s">
        <v>1</v>
      </c>
      <c r="E23" s="1" t="s">
        <v>649</v>
      </c>
      <c r="G23" t="s">
        <v>8</v>
      </c>
      <c r="H23" t="s">
        <v>5</v>
      </c>
      <c r="J23" t="str">
        <f t="shared" si="1"/>
        <v>Power/Signal Coupling</v>
      </c>
      <c r="K23" t="str">
        <f t="shared" si="2"/>
        <v>S-D6</v>
      </c>
    </row>
    <row r="24" spans="4:11" x14ac:dyDescent="0.25">
      <c r="D24" s="2" t="s">
        <v>1</v>
      </c>
      <c r="E24" s="1" t="s">
        <v>648</v>
      </c>
    </row>
    <row r="25" spans="4:11" x14ac:dyDescent="0.25">
      <c r="D25" s="2" t="s">
        <v>1</v>
      </c>
      <c r="E25" s="1" t="s">
        <v>647</v>
      </c>
      <c r="I25" t="s">
        <v>653</v>
      </c>
    </row>
    <row r="26" spans="4:11" x14ac:dyDescent="0.25">
      <c r="D26" s="2" t="s">
        <v>1</v>
      </c>
      <c r="E26" s="1" t="s">
        <v>646</v>
      </c>
      <c r="G26" t="s">
        <v>26</v>
      </c>
      <c r="H26" t="s">
        <v>5</v>
      </c>
      <c r="I26" t="str">
        <f t="shared" ref="I26:I40" si="3">I$25&amp;"-"&amp;$G26</f>
        <v>F-D1</v>
      </c>
    </row>
    <row r="27" spans="4:11" x14ac:dyDescent="0.25">
      <c r="D27" s="2" t="s">
        <v>1</v>
      </c>
      <c r="E27" s="1" t="s">
        <v>645</v>
      </c>
      <c r="G27" t="s">
        <v>25</v>
      </c>
      <c r="H27" t="s">
        <v>1</v>
      </c>
      <c r="I27" t="str">
        <f t="shared" si="3"/>
        <v>F-D2</v>
      </c>
    </row>
    <row r="28" spans="4:11" x14ac:dyDescent="0.25">
      <c r="D28" s="2" t="s">
        <v>5</v>
      </c>
      <c r="E28" s="1" t="s">
        <v>644</v>
      </c>
      <c r="G28" t="s">
        <v>23</v>
      </c>
      <c r="H28" t="s">
        <v>1</v>
      </c>
      <c r="I28" t="str">
        <f t="shared" si="3"/>
        <v>F-D3</v>
      </c>
    </row>
    <row r="29" spans="4:11" x14ac:dyDescent="0.25">
      <c r="D29" s="2" t="s">
        <v>1</v>
      </c>
      <c r="E29" s="1" t="s">
        <v>643</v>
      </c>
      <c r="G29" t="s">
        <v>21</v>
      </c>
      <c r="H29" t="s">
        <v>5</v>
      </c>
      <c r="I29" t="str">
        <f t="shared" si="3"/>
        <v>F-D4</v>
      </c>
    </row>
    <row r="30" spans="4:11" x14ac:dyDescent="0.25">
      <c r="D30" s="2" t="s">
        <v>1</v>
      </c>
      <c r="E30" s="1" t="s">
        <v>642</v>
      </c>
      <c r="G30" t="s">
        <v>18</v>
      </c>
      <c r="H30" t="s">
        <v>1</v>
      </c>
      <c r="I30" t="str">
        <f t="shared" si="3"/>
        <v>F-D5</v>
      </c>
    </row>
    <row r="31" spans="4:11" x14ac:dyDescent="0.25">
      <c r="D31" s="2" t="s">
        <v>1</v>
      </c>
      <c r="E31" s="1" t="s">
        <v>641</v>
      </c>
      <c r="G31" t="s">
        <v>8</v>
      </c>
      <c r="H31" t="s">
        <v>1</v>
      </c>
      <c r="I31" t="str">
        <f t="shared" si="3"/>
        <v>F-D6</v>
      </c>
    </row>
    <row r="32" spans="4:11" x14ac:dyDescent="0.25">
      <c r="D32" s="2" t="s">
        <v>5</v>
      </c>
      <c r="E32" s="1" t="s">
        <v>640</v>
      </c>
      <c r="G32" t="s">
        <v>17</v>
      </c>
      <c r="H32" t="s">
        <v>1</v>
      </c>
      <c r="I32" t="str">
        <f t="shared" si="3"/>
        <v>F-D7</v>
      </c>
    </row>
    <row r="33" spans="4:9" x14ac:dyDescent="0.25">
      <c r="D33" s="2" t="s">
        <v>100</v>
      </c>
      <c r="E33" s="1" t="s">
        <v>485</v>
      </c>
      <c r="G33" t="s">
        <v>15</v>
      </c>
      <c r="H33" t="s">
        <v>1</v>
      </c>
      <c r="I33" t="str">
        <f t="shared" si="3"/>
        <v>F-D8</v>
      </c>
    </row>
    <row r="34" spans="4:9" x14ac:dyDescent="0.25">
      <c r="D34" s="2" t="s">
        <v>100</v>
      </c>
      <c r="E34" s="1" t="s">
        <v>633</v>
      </c>
      <c r="G34" t="s">
        <v>244</v>
      </c>
      <c r="H34" t="s">
        <v>1</v>
      </c>
      <c r="I34" t="str">
        <f t="shared" si="3"/>
        <v>F-D9</v>
      </c>
    </row>
    <row r="35" spans="4:9" x14ac:dyDescent="0.25">
      <c r="D35" s="2" t="s">
        <v>100</v>
      </c>
      <c r="E35" s="1" t="s">
        <v>487</v>
      </c>
      <c r="G35" t="s">
        <v>474</v>
      </c>
      <c r="H35" t="s">
        <v>1</v>
      </c>
      <c r="I35" t="str">
        <f t="shared" si="3"/>
        <v>F-D10</v>
      </c>
    </row>
    <row r="36" spans="4:9" x14ac:dyDescent="0.25">
      <c r="D36" s="2" t="s">
        <v>100</v>
      </c>
      <c r="E36" s="1" t="s">
        <v>632</v>
      </c>
      <c r="G36" t="s">
        <v>472</v>
      </c>
      <c r="H36" t="s">
        <v>5</v>
      </c>
      <c r="I36" t="str">
        <f t="shared" si="3"/>
        <v>F-D11</v>
      </c>
    </row>
    <row r="37" spans="4:9" x14ac:dyDescent="0.25">
      <c r="D37" s="2" t="s">
        <v>100</v>
      </c>
      <c r="E37" s="1" t="s">
        <v>631</v>
      </c>
      <c r="G37" t="s">
        <v>470</v>
      </c>
      <c r="H37" t="s">
        <v>1</v>
      </c>
      <c r="I37" t="str">
        <f t="shared" si="3"/>
        <v>F-D12</v>
      </c>
    </row>
    <row r="38" spans="4:9" x14ac:dyDescent="0.25">
      <c r="D38" s="2" t="s">
        <v>100</v>
      </c>
      <c r="E38" s="1" t="s">
        <v>564</v>
      </c>
      <c r="G38" t="s">
        <v>469</v>
      </c>
      <c r="H38" t="s">
        <v>1</v>
      </c>
      <c r="I38" t="str">
        <f t="shared" si="3"/>
        <v>F-D13</v>
      </c>
    </row>
    <row r="39" spans="4:9" x14ac:dyDescent="0.25">
      <c r="D39" s="2" t="s">
        <v>100</v>
      </c>
      <c r="E39" s="1" t="s">
        <v>486</v>
      </c>
      <c r="G39" t="s">
        <v>468</v>
      </c>
      <c r="H39" t="s">
        <v>1</v>
      </c>
      <c r="I39" t="str">
        <f t="shared" si="3"/>
        <v>F-D14</v>
      </c>
    </row>
    <row r="40" spans="4:9" x14ac:dyDescent="0.25">
      <c r="D40" s="2" t="s">
        <v>100</v>
      </c>
      <c r="E40" s="1" t="s">
        <v>623</v>
      </c>
      <c r="G40" t="s">
        <v>639</v>
      </c>
      <c r="H40" t="s">
        <v>5</v>
      </c>
      <c r="I40" t="str">
        <f t="shared" si="3"/>
        <v>F-D15</v>
      </c>
    </row>
    <row r="41" spans="4:9" x14ac:dyDescent="0.25">
      <c r="D41" s="2" t="s">
        <v>100</v>
      </c>
      <c r="E41" s="1" t="s">
        <v>666</v>
      </c>
    </row>
    <row r="42" spans="4:9" x14ac:dyDescent="0.25">
      <c r="D42" s="2" t="s">
        <v>100</v>
      </c>
      <c r="E42" s="1" t="s">
        <v>665</v>
      </c>
    </row>
    <row r="43" spans="4:9" x14ac:dyDescent="0.25">
      <c r="D43" s="2" t="s">
        <v>555</v>
      </c>
      <c r="E43" s="1" t="s">
        <v>556</v>
      </c>
    </row>
    <row r="44" spans="4:9" x14ac:dyDescent="0.25">
      <c r="D44" s="2" t="s">
        <v>555</v>
      </c>
      <c r="E44" s="1" t="s">
        <v>554</v>
      </c>
    </row>
    <row r="45" spans="4:9" x14ac:dyDescent="0.25">
      <c r="D45" s="2" t="s">
        <v>555</v>
      </c>
      <c r="E45" s="1" t="s">
        <v>610</v>
      </c>
    </row>
    <row r="46" spans="4:9" x14ac:dyDescent="0.25">
      <c r="D46" s="2" t="s">
        <v>555</v>
      </c>
      <c r="E46" s="1" t="s">
        <v>609</v>
      </c>
    </row>
    <row r="47" spans="4:9" x14ac:dyDescent="0.25">
      <c r="D47" s="2" t="s">
        <v>552</v>
      </c>
      <c r="E47" s="1" t="s">
        <v>553</v>
      </c>
    </row>
    <row r="48" spans="4:9" x14ac:dyDescent="0.25">
      <c r="D48" s="2" t="s">
        <v>552</v>
      </c>
      <c r="E48" s="1" t="s">
        <v>550</v>
      </c>
    </row>
    <row r="49" spans="4:5" x14ac:dyDescent="0.25">
      <c r="D49" s="2" t="s">
        <v>552</v>
      </c>
      <c r="E49" s="1" t="s">
        <v>549</v>
      </c>
    </row>
    <row r="50" spans="4:5" x14ac:dyDescent="0.25">
      <c r="D50" s="2" t="s">
        <v>552</v>
      </c>
      <c r="E50" s="1" t="s">
        <v>547</v>
      </c>
    </row>
    <row r="51" spans="4:5" x14ac:dyDescent="0.25">
      <c r="D51" s="2" t="s">
        <v>552</v>
      </c>
      <c r="E51" s="1" t="s">
        <v>545</v>
      </c>
    </row>
    <row r="52" spans="4:5" x14ac:dyDescent="0.25">
      <c r="D52" s="2" t="s">
        <v>552</v>
      </c>
      <c r="E52" s="1" t="s">
        <v>544</v>
      </c>
    </row>
    <row r="53" spans="4:5" x14ac:dyDescent="0.25">
      <c r="D53" s="2" t="s">
        <v>552</v>
      </c>
      <c r="E53" s="1" t="s">
        <v>543</v>
      </c>
    </row>
    <row r="54" spans="4:5" x14ac:dyDescent="0.25">
      <c r="D54" s="2" t="s">
        <v>552</v>
      </c>
      <c r="E54" s="1" t="s">
        <v>542</v>
      </c>
    </row>
    <row r="55" spans="4:5" x14ac:dyDescent="0.25">
      <c r="D55" s="2" t="s">
        <v>552</v>
      </c>
      <c r="E55" s="1" t="s">
        <v>699</v>
      </c>
    </row>
    <row r="56" spans="4:5" x14ac:dyDescent="0.25">
      <c r="D56" s="2" t="s">
        <v>552</v>
      </c>
      <c r="E56" s="1" t="s">
        <v>698</v>
      </c>
    </row>
    <row r="57" spans="4:5" x14ac:dyDescent="0.25">
      <c r="D57" s="2" t="s">
        <v>540</v>
      </c>
      <c r="E57" s="1" t="s">
        <v>638</v>
      </c>
    </row>
    <row r="58" spans="4:5" x14ac:dyDescent="0.25">
      <c r="D58" s="2" t="s">
        <v>66</v>
      </c>
      <c r="E58" s="1" t="s">
        <v>626</v>
      </c>
    </row>
    <row r="59" spans="4:5" x14ac:dyDescent="0.25">
      <c r="D59" s="2" t="s">
        <v>66</v>
      </c>
      <c r="E59" s="1" t="s">
        <v>637</v>
      </c>
    </row>
    <row r="60" spans="4:5" x14ac:dyDescent="0.25">
      <c r="D60" s="2" t="s">
        <v>66</v>
      </c>
      <c r="E60" s="1" t="s">
        <v>525</v>
      </c>
    </row>
    <row r="61" spans="4:5" x14ac:dyDescent="0.25">
      <c r="D61" s="2" t="s">
        <v>66</v>
      </c>
      <c r="E61" s="1" t="s">
        <v>526</v>
      </c>
    </row>
    <row r="62" spans="4:5" x14ac:dyDescent="0.25">
      <c r="D62" s="2" t="s">
        <v>66</v>
      </c>
      <c r="E62" s="1" t="s">
        <v>524</v>
      </c>
    </row>
    <row r="63" spans="4:5" x14ac:dyDescent="0.25">
      <c r="D63" s="2" t="s">
        <v>66</v>
      </c>
      <c r="E63" s="1" t="s">
        <v>636</v>
      </c>
    </row>
    <row r="64" spans="4:5" x14ac:dyDescent="0.25">
      <c r="D64" s="2" t="s">
        <v>66</v>
      </c>
      <c r="E64" s="1" t="s">
        <v>635</v>
      </c>
    </row>
    <row r="65" spans="4:5" x14ac:dyDescent="0.25">
      <c r="D65" s="2" t="s">
        <v>66</v>
      </c>
      <c r="E65" s="1" t="s">
        <v>634</v>
      </c>
    </row>
    <row r="66" spans="4:5" x14ac:dyDescent="0.25">
      <c r="D66" s="2" t="s">
        <v>66</v>
      </c>
      <c r="E66" s="1" t="s">
        <v>532</v>
      </c>
    </row>
    <row r="67" spans="4:5" x14ac:dyDescent="0.25">
      <c r="D67" s="2" t="s">
        <v>66</v>
      </c>
      <c r="E67" s="1" t="s">
        <v>531</v>
      </c>
    </row>
    <row r="68" spans="4:5" x14ac:dyDescent="0.25">
      <c r="D68" s="2" t="s">
        <v>66</v>
      </c>
      <c r="E68" s="1" t="s">
        <v>530</v>
      </c>
    </row>
    <row r="69" spans="4:5" x14ac:dyDescent="0.25">
      <c r="D69" s="2" t="s">
        <v>66</v>
      </c>
      <c r="E69" s="1" t="s">
        <v>534</v>
      </c>
    </row>
  </sheetData>
  <dataValidations count="2">
    <dataValidation type="list" allowBlank="1" showInputMessage="1" showErrorMessage="1" sqref="H3:H23 H26:H45">
      <formula1>INDIRECT($A$3&amp;"["&amp;$A$3&amp;"]")</formula1>
    </dataValidation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>
    <pageSetUpPr fitToPage="1"/>
  </sheetPr>
  <dimension ref="A1:K109"/>
  <sheetViews>
    <sheetView tabSelected="1" workbookViewId="0">
      <selection activeCell="N17" sqref="N17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301</v>
      </c>
      <c r="D3" s="5" t="s">
        <v>783</v>
      </c>
      <c r="E3" s="4" t="s">
        <v>784</v>
      </c>
      <c r="G3" s="6"/>
      <c r="H3" s="6"/>
      <c r="I3" s="7" t="s">
        <v>37</v>
      </c>
      <c r="J3" s="6"/>
      <c r="K3" s="6"/>
    </row>
    <row r="4" spans="1:11" x14ac:dyDescent="0.25">
      <c r="D4" s="5" t="s">
        <v>783</v>
      </c>
      <c r="E4" s="4" t="s">
        <v>785</v>
      </c>
      <c r="G4" t="s">
        <v>36</v>
      </c>
      <c r="H4" t="s">
        <v>35</v>
      </c>
      <c r="I4" t="str">
        <f t="shared" ref="I4:I21" si="0">$I$3&amp;"-"&amp;G4</f>
        <v>P110-HPA</v>
      </c>
      <c r="J4" t="str">
        <f t="shared" ref="J4:J21" si="1">$I$3&amp;"-"&amp;H4</f>
        <v>P110-LFMETH</v>
      </c>
    </row>
    <row r="5" spans="1:11" x14ac:dyDescent="0.25">
      <c r="D5" s="5" t="s">
        <v>3</v>
      </c>
      <c r="E5" s="4" t="s">
        <v>35</v>
      </c>
      <c r="G5" t="s">
        <v>34</v>
      </c>
      <c r="H5" t="s">
        <v>33</v>
      </c>
      <c r="I5" t="str">
        <f t="shared" si="0"/>
        <v>P110-HPB</v>
      </c>
      <c r="J5" t="str">
        <f t="shared" si="1"/>
        <v>P110-CISI</v>
      </c>
    </row>
    <row r="6" spans="1:11" x14ac:dyDescent="0.25">
      <c r="D6" s="5" t="s">
        <v>3</v>
      </c>
      <c r="E6" s="4" t="s">
        <v>33</v>
      </c>
      <c r="G6" t="s">
        <v>32</v>
      </c>
      <c r="H6" t="s">
        <v>31</v>
      </c>
      <c r="I6" t="str">
        <f t="shared" si="0"/>
        <v>P110-LPA</v>
      </c>
      <c r="J6" t="str">
        <f t="shared" si="1"/>
        <v>P110-HFMETH</v>
      </c>
    </row>
    <row r="7" spans="1:11" x14ac:dyDescent="0.25">
      <c r="D7" s="5" t="s">
        <v>3</v>
      </c>
      <c r="E7" s="4" t="s">
        <v>31</v>
      </c>
      <c r="G7" t="s">
        <v>30</v>
      </c>
      <c r="H7" t="s">
        <v>29</v>
      </c>
      <c r="I7" t="str">
        <f t="shared" si="0"/>
        <v>P110-LPB</v>
      </c>
      <c r="J7" t="str">
        <f t="shared" si="1"/>
        <v>P110-WAX</v>
      </c>
    </row>
    <row r="8" spans="1:11" x14ac:dyDescent="0.25">
      <c r="D8" s="5" t="s">
        <v>3</v>
      </c>
      <c r="E8" s="4" t="s">
        <v>29</v>
      </c>
      <c r="G8" t="s">
        <v>26</v>
      </c>
      <c r="H8" t="s">
        <v>28</v>
      </c>
      <c r="I8" t="str">
        <f t="shared" si="0"/>
        <v>P110-D1</v>
      </c>
      <c r="J8" t="str">
        <f t="shared" si="1"/>
        <v>P110-THV</v>
      </c>
    </row>
    <row r="9" spans="1:11" x14ac:dyDescent="0.25">
      <c r="D9" s="5" t="s">
        <v>0</v>
      </c>
      <c r="E9" s="4" t="s">
        <v>28</v>
      </c>
      <c r="G9" t="s">
        <v>25</v>
      </c>
      <c r="H9" t="s">
        <v>27</v>
      </c>
      <c r="I9" t="str">
        <f t="shared" si="0"/>
        <v>P110-D2</v>
      </c>
      <c r="J9" t="str">
        <f t="shared" si="1"/>
        <v>P110-PHV</v>
      </c>
    </row>
    <row r="10" spans="1:11" x14ac:dyDescent="0.25">
      <c r="D10" s="5" t="s">
        <v>0</v>
      </c>
      <c r="E10" s="4" t="s">
        <v>27</v>
      </c>
      <c r="G10" t="s">
        <v>23</v>
      </c>
      <c r="H10" t="s">
        <v>26</v>
      </c>
      <c r="I10" t="str">
        <f t="shared" si="0"/>
        <v>P110-D3</v>
      </c>
      <c r="J10" t="str">
        <f t="shared" si="1"/>
        <v>P110-D1</v>
      </c>
    </row>
    <row r="11" spans="1:11" x14ac:dyDescent="0.25">
      <c r="E11" s="4"/>
      <c r="G11" t="s">
        <v>21</v>
      </c>
      <c r="H11" t="s">
        <v>25</v>
      </c>
      <c r="I11" t="str">
        <f t="shared" si="0"/>
        <v>P110-D4</v>
      </c>
      <c r="J11" t="str">
        <f t="shared" si="1"/>
        <v>P110-D2</v>
      </c>
    </row>
    <row r="12" spans="1:11" x14ac:dyDescent="0.25">
      <c r="E12" s="4"/>
      <c r="G12" t="s">
        <v>24</v>
      </c>
      <c r="H12" t="s">
        <v>23</v>
      </c>
      <c r="I12" t="str">
        <f t="shared" si="0"/>
        <v>P110-PA1</v>
      </c>
      <c r="J12" t="str">
        <f t="shared" si="1"/>
        <v>P110-D3</v>
      </c>
    </row>
    <row r="13" spans="1:11" x14ac:dyDescent="0.25">
      <c r="E13" s="4"/>
      <c r="G13" t="s">
        <v>22</v>
      </c>
      <c r="H13" t="s">
        <v>21</v>
      </c>
      <c r="I13" t="str">
        <f t="shared" si="0"/>
        <v>P110-PA2</v>
      </c>
      <c r="J13" t="str">
        <f t="shared" si="1"/>
        <v>P110-D4</v>
      </c>
    </row>
    <row r="14" spans="1:11" x14ac:dyDescent="0.25">
      <c r="E14" s="4"/>
      <c r="G14" t="s">
        <v>20</v>
      </c>
      <c r="H14" t="s">
        <v>18</v>
      </c>
      <c r="I14" t="str">
        <f t="shared" si="0"/>
        <v>P110-CA3</v>
      </c>
      <c r="J14" t="str">
        <f t="shared" si="1"/>
        <v>P110-D5</v>
      </c>
    </row>
    <row r="15" spans="1:11" x14ac:dyDescent="0.25">
      <c r="E15" s="4"/>
      <c r="G15" t="s">
        <v>19</v>
      </c>
      <c r="H15" t="s">
        <v>8</v>
      </c>
      <c r="I15" t="str">
        <f t="shared" si="0"/>
        <v>P110-CA4</v>
      </c>
      <c r="J15" t="str">
        <f t="shared" si="1"/>
        <v>P110-D6</v>
      </c>
    </row>
    <row r="16" spans="1:11" x14ac:dyDescent="0.25">
      <c r="E16" s="4"/>
      <c r="G16" t="s">
        <v>18</v>
      </c>
      <c r="H16" t="s">
        <v>17</v>
      </c>
      <c r="I16" t="str">
        <f t="shared" si="0"/>
        <v>P110-D5</v>
      </c>
      <c r="J16" t="str">
        <f t="shared" si="1"/>
        <v>P110-D7</v>
      </c>
    </row>
    <row r="17" spans="4:10" x14ac:dyDescent="0.25">
      <c r="E17" s="4"/>
      <c r="G17" t="s">
        <v>16</v>
      </c>
      <c r="H17" t="s">
        <v>15</v>
      </c>
      <c r="I17" t="str">
        <f t="shared" si="0"/>
        <v>P110-PB1</v>
      </c>
      <c r="J17" t="str">
        <f t="shared" si="1"/>
        <v>P110-D8</v>
      </c>
    </row>
    <row r="18" spans="4:10" x14ac:dyDescent="0.25">
      <c r="E18" s="4"/>
      <c r="G18" t="s">
        <v>14</v>
      </c>
      <c r="H18" t="s">
        <v>13</v>
      </c>
      <c r="I18" t="str">
        <f t="shared" si="0"/>
        <v>P110-PB2</v>
      </c>
      <c r="J18" t="str">
        <f t="shared" si="1"/>
        <v>P110-SV1</v>
      </c>
    </row>
    <row r="19" spans="4:10" x14ac:dyDescent="0.25">
      <c r="D19" s="5"/>
      <c r="E19" s="4"/>
      <c r="G19" t="s">
        <v>12</v>
      </c>
      <c r="H19" t="s">
        <v>11</v>
      </c>
      <c r="I19" t="str">
        <f t="shared" si="0"/>
        <v>P110-CB3</v>
      </c>
      <c r="J19" t="str">
        <f t="shared" si="1"/>
        <v>P110-SV2</v>
      </c>
    </row>
    <row r="20" spans="4:10" x14ac:dyDescent="0.25">
      <c r="D20" s="5"/>
      <c r="E20" s="4"/>
      <c r="G20" t="s">
        <v>10</v>
      </c>
      <c r="H20" t="s">
        <v>9</v>
      </c>
      <c r="I20" t="str">
        <f t="shared" si="0"/>
        <v>P110-CB4</v>
      </c>
      <c r="J20" t="str">
        <f t="shared" si="1"/>
        <v>P110-D8-CH-OPEN</v>
      </c>
    </row>
    <row r="21" spans="4:10" x14ac:dyDescent="0.25">
      <c r="D21" s="5"/>
      <c r="E21" s="4"/>
      <c r="G21" t="s">
        <v>8</v>
      </c>
      <c r="H21" t="s">
        <v>7</v>
      </c>
      <c r="I21" t="str">
        <f t="shared" si="0"/>
        <v>P110-D6</v>
      </c>
      <c r="J21" t="str">
        <f t="shared" si="1"/>
        <v>P110-D2-CH-CLOSE</v>
      </c>
    </row>
    <row r="22" spans="4:10" x14ac:dyDescent="0.25">
      <c r="D22" s="5"/>
      <c r="E22" s="4"/>
    </row>
    <row r="23" spans="4:10" x14ac:dyDescent="0.25">
      <c r="D23" s="5"/>
      <c r="E23" s="4"/>
    </row>
    <row r="24" spans="4:10" x14ac:dyDescent="0.25">
      <c r="D24" s="5"/>
      <c r="E24" s="4"/>
    </row>
    <row r="25" spans="4:10" x14ac:dyDescent="0.25">
      <c r="D25" s="5"/>
      <c r="E25" s="4"/>
    </row>
    <row r="26" spans="4:10" x14ac:dyDescent="0.25">
      <c r="D26" s="5"/>
      <c r="E26" s="4"/>
    </row>
    <row r="27" spans="4:10" x14ac:dyDescent="0.25">
      <c r="D27" s="5"/>
      <c r="E27" s="4"/>
    </row>
    <row r="28" spans="4:10" x14ac:dyDescent="0.25">
      <c r="D28" s="5"/>
      <c r="E28" s="4"/>
    </row>
    <row r="29" spans="4:10" x14ac:dyDescent="0.25">
      <c r="D29" s="5"/>
      <c r="E29" s="4"/>
    </row>
    <row r="30" spans="4:10" x14ac:dyDescent="0.25">
      <c r="D30" s="5"/>
      <c r="E30" s="4"/>
    </row>
    <row r="31" spans="4:10" x14ac:dyDescent="0.25">
      <c r="D31" s="5"/>
      <c r="E31" s="4"/>
    </row>
    <row r="32" spans="4:10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Others (Combined)</v>
      </c>
      <c r="C3" s="2" t="str">
        <f ca="1">MID(CELL("filename",A1),FIND("]",CELL("filename",A1))+1,255)</f>
        <v>302</v>
      </c>
      <c r="D3" s="5" t="s">
        <v>783</v>
      </c>
      <c r="E3" s="4" t="s">
        <v>784</v>
      </c>
      <c r="G3" s="6"/>
      <c r="H3" s="6"/>
      <c r="I3" s="7" t="s">
        <v>37</v>
      </c>
      <c r="J3" s="6"/>
      <c r="K3" s="6"/>
    </row>
    <row r="4" spans="1:11" x14ac:dyDescent="0.25">
      <c r="D4" s="5" t="s">
        <v>783</v>
      </c>
      <c r="E4" s="4" t="s">
        <v>785</v>
      </c>
      <c r="G4" t="s">
        <v>36</v>
      </c>
      <c r="H4" t="s">
        <v>35</v>
      </c>
      <c r="I4" t="str">
        <f t="shared" ref="I4:I21" si="0">$I$3&amp;"-"&amp;G4</f>
        <v>P110-HPA</v>
      </c>
      <c r="J4" t="str">
        <f t="shared" ref="J4:J21" si="1">$I$3&amp;"-"&amp;H4</f>
        <v>P110-LFMETH</v>
      </c>
    </row>
    <row r="5" spans="1:11" x14ac:dyDescent="0.25">
      <c r="D5" s="5" t="s">
        <v>3</v>
      </c>
      <c r="E5" s="4" t="s">
        <v>35</v>
      </c>
      <c r="G5" t="s">
        <v>34</v>
      </c>
      <c r="H5" t="s">
        <v>33</v>
      </c>
      <c r="I5" t="str">
        <f t="shared" si="0"/>
        <v>P110-HPB</v>
      </c>
      <c r="J5" t="str">
        <f t="shared" si="1"/>
        <v>P110-CISI</v>
      </c>
    </row>
    <row r="6" spans="1:11" x14ac:dyDescent="0.25">
      <c r="D6" s="5" t="s">
        <v>3</v>
      </c>
      <c r="E6" s="4" t="s">
        <v>33</v>
      </c>
      <c r="G6" t="s">
        <v>32</v>
      </c>
      <c r="H6" t="s">
        <v>31</v>
      </c>
      <c r="I6" t="str">
        <f t="shared" si="0"/>
        <v>P110-LPA</v>
      </c>
      <c r="J6" t="str">
        <f t="shared" si="1"/>
        <v>P110-HFMETH</v>
      </c>
    </row>
    <row r="7" spans="1:11" x14ac:dyDescent="0.25">
      <c r="D7" s="5" t="s">
        <v>3</v>
      </c>
      <c r="E7" s="4" t="s">
        <v>31</v>
      </c>
      <c r="G7" t="s">
        <v>30</v>
      </c>
      <c r="H7" t="s">
        <v>29</v>
      </c>
      <c r="I7" t="str">
        <f t="shared" si="0"/>
        <v>P110-LPB</v>
      </c>
      <c r="J7" t="str">
        <f t="shared" si="1"/>
        <v>P110-WAX</v>
      </c>
    </row>
    <row r="8" spans="1:11" x14ac:dyDescent="0.25">
      <c r="D8" s="5" t="s">
        <v>3</v>
      </c>
      <c r="E8" s="4" t="s">
        <v>29</v>
      </c>
      <c r="G8" t="s">
        <v>26</v>
      </c>
      <c r="H8" t="s">
        <v>28</v>
      </c>
      <c r="I8" t="str">
        <f t="shared" si="0"/>
        <v>P110-D1</v>
      </c>
      <c r="J8" t="str">
        <f t="shared" si="1"/>
        <v>P110-THV</v>
      </c>
    </row>
    <row r="9" spans="1:11" x14ac:dyDescent="0.25">
      <c r="D9" s="5" t="s">
        <v>0</v>
      </c>
      <c r="E9" s="4" t="s">
        <v>28</v>
      </c>
      <c r="G9" t="s">
        <v>25</v>
      </c>
      <c r="H9" t="s">
        <v>27</v>
      </c>
      <c r="I9" t="str">
        <f t="shared" si="0"/>
        <v>P110-D2</v>
      </c>
      <c r="J9" t="str">
        <f t="shared" si="1"/>
        <v>P110-PHV</v>
      </c>
    </row>
    <row r="10" spans="1:11" x14ac:dyDescent="0.25">
      <c r="D10" s="5" t="s">
        <v>0</v>
      </c>
      <c r="E10" s="4" t="s">
        <v>27</v>
      </c>
      <c r="G10" t="s">
        <v>23</v>
      </c>
      <c r="H10" t="s">
        <v>26</v>
      </c>
      <c r="I10" t="str">
        <f t="shared" si="0"/>
        <v>P110-D3</v>
      </c>
      <c r="J10" t="str">
        <f t="shared" si="1"/>
        <v>P110-D1</v>
      </c>
    </row>
    <row r="11" spans="1:11" x14ac:dyDescent="0.25">
      <c r="D11" s="5" t="s">
        <v>0</v>
      </c>
      <c r="E11" s="4" t="s">
        <v>185</v>
      </c>
      <c r="G11" t="s">
        <v>21</v>
      </c>
      <c r="H11" t="s">
        <v>25</v>
      </c>
      <c r="I11" t="str">
        <f t="shared" si="0"/>
        <v>P110-D4</v>
      </c>
      <c r="J11" t="str">
        <f t="shared" si="1"/>
        <v>P110-D2</v>
      </c>
    </row>
    <row r="12" spans="1:11" x14ac:dyDescent="0.25">
      <c r="D12" s="5" t="s">
        <v>0</v>
      </c>
      <c r="E12" s="4" t="s">
        <v>183</v>
      </c>
      <c r="G12" t="s">
        <v>24</v>
      </c>
      <c r="H12" t="s">
        <v>23</v>
      </c>
      <c r="I12" t="str">
        <f t="shared" si="0"/>
        <v>P110-PA1</v>
      </c>
      <c r="J12" t="str">
        <f t="shared" si="1"/>
        <v>P110-D3</v>
      </c>
    </row>
    <row r="13" spans="1:11" x14ac:dyDescent="0.25">
      <c r="E13" s="4"/>
      <c r="G13" t="s">
        <v>22</v>
      </c>
      <c r="H13" t="s">
        <v>21</v>
      </c>
      <c r="I13" t="str">
        <f t="shared" si="0"/>
        <v>P110-PA2</v>
      </c>
      <c r="J13" t="str">
        <f t="shared" si="1"/>
        <v>P110-D4</v>
      </c>
    </row>
    <row r="14" spans="1:11" x14ac:dyDescent="0.25">
      <c r="E14" s="4"/>
      <c r="G14" t="s">
        <v>20</v>
      </c>
      <c r="H14" t="s">
        <v>18</v>
      </c>
      <c r="I14" t="str">
        <f t="shared" si="0"/>
        <v>P110-CA3</v>
      </c>
      <c r="J14" t="str">
        <f t="shared" si="1"/>
        <v>P110-D5</v>
      </c>
    </row>
    <row r="15" spans="1:11" x14ac:dyDescent="0.25">
      <c r="E15" s="4"/>
      <c r="G15" t="s">
        <v>19</v>
      </c>
      <c r="H15" t="s">
        <v>8</v>
      </c>
      <c r="I15" t="str">
        <f t="shared" si="0"/>
        <v>P110-CA4</v>
      </c>
      <c r="J15" t="str">
        <f t="shared" si="1"/>
        <v>P110-D6</v>
      </c>
    </row>
    <row r="16" spans="1:11" x14ac:dyDescent="0.25">
      <c r="E16" s="4"/>
      <c r="G16" t="s">
        <v>18</v>
      </c>
      <c r="H16" t="s">
        <v>17</v>
      </c>
      <c r="I16" t="str">
        <f t="shared" si="0"/>
        <v>P110-D5</v>
      </c>
      <c r="J16" t="str">
        <f t="shared" si="1"/>
        <v>P110-D7</v>
      </c>
    </row>
    <row r="17" spans="4:10" x14ac:dyDescent="0.25">
      <c r="E17" s="4"/>
      <c r="G17" t="s">
        <v>16</v>
      </c>
      <c r="H17" t="s">
        <v>15</v>
      </c>
      <c r="I17" t="str">
        <f t="shared" si="0"/>
        <v>P110-PB1</v>
      </c>
      <c r="J17" t="str">
        <f t="shared" si="1"/>
        <v>P110-D8</v>
      </c>
    </row>
    <row r="18" spans="4:10" x14ac:dyDescent="0.25">
      <c r="E18" s="4"/>
      <c r="G18" t="s">
        <v>14</v>
      </c>
      <c r="H18" t="s">
        <v>13</v>
      </c>
      <c r="I18" t="str">
        <f t="shared" si="0"/>
        <v>P110-PB2</v>
      </c>
      <c r="J18" t="str">
        <f t="shared" si="1"/>
        <v>P110-SV1</v>
      </c>
    </row>
    <row r="19" spans="4:10" x14ac:dyDescent="0.25">
      <c r="E19" s="4"/>
      <c r="G19" t="s">
        <v>12</v>
      </c>
      <c r="H19" t="s">
        <v>11</v>
      </c>
      <c r="I19" t="str">
        <f t="shared" si="0"/>
        <v>P110-CB3</v>
      </c>
      <c r="J19" t="str">
        <f t="shared" si="1"/>
        <v>P110-SV2</v>
      </c>
    </row>
    <row r="20" spans="4:10" x14ac:dyDescent="0.25">
      <c r="E20" s="4"/>
      <c r="G20" t="s">
        <v>10</v>
      </c>
      <c r="H20" t="s">
        <v>9</v>
      </c>
      <c r="I20" t="str">
        <f t="shared" si="0"/>
        <v>P110-CB4</v>
      </c>
      <c r="J20" t="str">
        <f t="shared" si="1"/>
        <v>P110-D8-CH-OPEN</v>
      </c>
    </row>
    <row r="21" spans="4:10" x14ac:dyDescent="0.25">
      <c r="D21" s="5"/>
      <c r="E21" s="4"/>
      <c r="G21" t="s">
        <v>8</v>
      </c>
      <c r="H21" t="s">
        <v>7</v>
      </c>
      <c r="I21" t="str">
        <f t="shared" si="0"/>
        <v>P110-D6</v>
      </c>
      <c r="J21" t="str">
        <f t="shared" si="1"/>
        <v>P110-D2-CH-CLOSE</v>
      </c>
    </row>
    <row r="22" spans="4:10" x14ac:dyDescent="0.25">
      <c r="D22" s="5"/>
      <c r="E22" s="4"/>
    </row>
    <row r="23" spans="4:10" x14ac:dyDescent="0.25">
      <c r="D23" s="5"/>
      <c r="E23" s="4"/>
    </row>
    <row r="24" spans="4:10" x14ac:dyDescent="0.25">
      <c r="D24" s="5"/>
      <c r="E24" s="4"/>
    </row>
    <row r="25" spans="4:10" x14ac:dyDescent="0.25">
      <c r="D25" s="5"/>
      <c r="E25" s="4"/>
    </row>
    <row r="26" spans="4:10" x14ac:dyDescent="0.25">
      <c r="D26" s="5"/>
      <c r="E26" s="4"/>
    </row>
    <row r="27" spans="4:10" x14ac:dyDescent="0.25">
      <c r="D27" s="5"/>
      <c r="E27" s="4"/>
    </row>
    <row r="28" spans="4:10" x14ac:dyDescent="0.25">
      <c r="D28" s="5"/>
      <c r="E28" s="4"/>
    </row>
    <row r="29" spans="4:10" x14ac:dyDescent="0.25">
      <c r="D29" s="5"/>
      <c r="E29" s="4"/>
    </row>
    <row r="30" spans="4:10" x14ac:dyDescent="0.25">
      <c r="D30" s="5"/>
      <c r="E30" s="4"/>
    </row>
    <row r="31" spans="4:10" x14ac:dyDescent="0.25">
      <c r="D31" s="5"/>
      <c r="E31" s="4"/>
    </row>
    <row r="32" spans="4:10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>
    <pageSetUpPr fitToPage="1"/>
  </sheetPr>
  <dimension ref="A1:K103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303</v>
      </c>
      <c r="D3" s="5" t="s">
        <v>783</v>
      </c>
      <c r="E3" s="4" t="s">
        <v>784</v>
      </c>
      <c r="G3" s="6"/>
      <c r="H3" s="6"/>
      <c r="I3" s="7" t="s">
        <v>37</v>
      </c>
      <c r="J3" s="6"/>
      <c r="K3" s="6"/>
    </row>
    <row r="4" spans="1:11" x14ac:dyDescent="0.25">
      <c r="D4" s="5" t="s">
        <v>783</v>
      </c>
      <c r="E4" s="4" t="s">
        <v>785</v>
      </c>
      <c r="G4" t="s">
        <v>36</v>
      </c>
      <c r="H4" t="s">
        <v>35</v>
      </c>
      <c r="I4" t="str">
        <f t="shared" ref="I4:I21" si="0">$I$3&amp;"-"&amp;G4</f>
        <v>P110-HPA</v>
      </c>
      <c r="J4" t="str">
        <f t="shared" ref="J4:J21" si="1">$I$3&amp;"-"&amp;H4</f>
        <v>P110-LFMETH</v>
      </c>
    </row>
    <row r="5" spans="1:11" x14ac:dyDescent="0.25">
      <c r="D5" s="5" t="s">
        <v>0</v>
      </c>
      <c r="E5" s="4" t="s">
        <v>36</v>
      </c>
      <c r="G5" t="s">
        <v>34</v>
      </c>
      <c r="H5" t="s">
        <v>33</v>
      </c>
      <c r="I5" t="str">
        <f t="shared" si="0"/>
        <v>P110-HPB</v>
      </c>
      <c r="J5" t="str">
        <f t="shared" si="1"/>
        <v>P110-CISI</v>
      </c>
    </row>
    <row r="6" spans="1:11" x14ac:dyDescent="0.25">
      <c r="D6" s="5" t="s">
        <v>0</v>
      </c>
      <c r="E6" s="4" t="s">
        <v>34</v>
      </c>
      <c r="G6" t="s">
        <v>32</v>
      </c>
      <c r="H6" t="s">
        <v>31</v>
      </c>
      <c r="I6" t="str">
        <f t="shared" si="0"/>
        <v>P110-LPA</v>
      </c>
      <c r="J6" t="str">
        <f t="shared" si="1"/>
        <v>P110-HFMETH</v>
      </c>
    </row>
    <row r="7" spans="1:11" x14ac:dyDescent="0.25">
      <c r="D7" s="5" t="s">
        <v>0</v>
      </c>
      <c r="E7" s="4" t="s">
        <v>32</v>
      </c>
      <c r="G7" t="s">
        <v>30</v>
      </c>
      <c r="H7" t="s">
        <v>29</v>
      </c>
      <c r="I7" t="str">
        <f t="shared" si="0"/>
        <v>P110-LPB</v>
      </c>
      <c r="J7" t="str">
        <f t="shared" si="1"/>
        <v>P110-WAX</v>
      </c>
    </row>
    <row r="8" spans="1:11" x14ac:dyDescent="0.25">
      <c r="D8" s="5" t="s">
        <v>0</v>
      </c>
      <c r="E8" s="4" t="s">
        <v>30</v>
      </c>
      <c r="G8" t="s">
        <v>26</v>
      </c>
      <c r="H8" t="s">
        <v>28</v>
      </c>
      <c r="I8" t="str">
        <f t="shared" si="0"/>
        <v>P110-D1</v>
      </c>
      <c r="J8" t="str">
        <f t="shared" si="1"/>
        <v>P110-THV</v>
      </c>
    </row>
    <row r="9" spans="1:11" x14ac:dyDescent="0.25">
      <c r="D9" s="5" t="s">
        <v>6</v>
      </c>
      <c r="E9" s="4" t="s">
        <v>24</v>
      </c>
      <c r="G9" t="s">
        <v>25</v>
      </c>
      <c r="H9" t="s">
        <v>27</v>
      </c>
      <c r="I9" t="str">
        <f t="shared" si="0"/>
        <v>P110-D2</v>
      </c>
      <c r="J9" t="str">
        <f t="shared" si="1"/>
        <v>P110-PHV</v>
      </c>
    </row>
    <row r="10" spans="1:11" x14ac:dyDescent="0.25">
      <c r="D10" s="5" t="s">
        <v>6</v>
      </c>
      <c r="E10" s="4" t="s">
        <v>22</v>
      </c>
      <c r="G10" t="s">
        <v>23</v>
      </c>
      <c r="H10" t="s">
        <v>26</v>
      </c>
      <c r="I10" t="str">
        <f t="shared" si="0"/>
        <v>P110-D3</v>
      </c>
      <c r="J10" t="str">
        <f t="shared" si="1"/>
        <v>P110-D1</v>
      </c>
    </row>
    <row r="11" spans="1:11" x14ac:dyDescent="0.25">
      <c r="D11" s="5" t="s">
        <v>6</v>
      </c>
      <c r="E11" s="4" t="s">
        <v>20</v>
      </c>
      <c r="G11" t="s">
        <v>21</v>
      </c>
      <c r="H11" t="s">
        <v>25</v>
      </c>
      <c r="I11" t="str">
        <f t="shared" si="0"/>
        <v>P110-D4</v>
      </c>
      <c r="J11" t="str">
        <f t="shared" si="1"/>
        <v>P110-D2</v>
      </c>
    </row>
    <row r="12" spans="1:11" x14ac:dyDescent="0.25">
      <c r="D12" s="5" t="s">
        <v>6</v>
      </c>
      <c r="E12" s="4" t="s">
        <v>19</v>
      </c>
      <c r="G12" t="s">
        <v>24</v>
      </c>
      <c r="H12" t="s">
        <v>23</v>
      </c>
      <c r="I12" t="str">
        <f t="shared" si="0"/>
        <v>P110-PA1</v>
      </c>
      <c r="J12" t="str">
        <f t="shared" si="1"/>
        <v>P110-D3</v>
      </c>
    </row>
    <row r="13" spans="1:11" x14ac:dyDescent="0.25">
      <c r="D13" s="5" t="s">
        <v>6</v>
      </c>
      <c r="E13" s="4" t="s">
        <v>16</v>
      </c>
      <c r="G13" t="s">
        <v>22</v>
      </c>
      <c r="H13" t="s">
        <v>21</v>
      </c>
      <c r="I13" t="str">
        <f t="shared" si="0"/>
        <v>P110-PA2</v>
      </c>
      <c r="J13" t="str">
        <f t="shared" si="1"/>
        <v>P110-D4</v>
      </c>
    </row>
    <row r="14" spans="1:11" x14ac:dyDescent="0.25">
      <c r="D14" s="5" t="s">
        <v>6</v>
      </c>
      <c r="E14" s="4" t="s">
        <v>14</v>
      </c>
      <c r="G14" t="s">
        <v>20</v>
      </c>
      <c r="H14" t="s">
        <v>18</v>
      </c>
      <c r="I14" t="str">
        <f t="shared" si="0"/>
        <v>P110-CA3</v>
      </c>
      <c r="J14" t="str">
        <f t="shared" si="1"/>
        <v>P110-D5</v>
      </c>
    </row>
    <row r="15" spans="1:11" x14ac:dyDescent="0.25">
      <c r="D15" s="5" t="s">
        <v>6</v>
      </c>
      <c r="E15" s="4" t="s">
        <v>12</v>
      </c>
      <c r="G15" t="s">
        <v>19</v>
      </c>
      <c r="H15" t="s">
        <v>8</v>
      </c>
      <c r="I15" t="str">
        <f t="shared" si="0"/>
        <v>P110-CA4</v>
      </c>
      <c r="J15" t="str">
        <f t="shared" si="1"/>
        <v>P110-D6</v>
      </c>
    </row>
    <row r="16" spans="1:11" x14ac:dyDescent="0.25">
      <c r="D16" s="5" t="s">
        <v>6</v>
      </c>
      <c r="E16" s="4" t="s">
        <v>10</v>
      </c>
      <c r="G16" t="s">
        <v>18</v>
      </c>
      <c r="H16" t="s">
        <v>17</v>
      </c>
      <c r="I16" t="str">
        <f t="shared" si="0"/>
        <v>P110-D5</v>
      </c>
      <c r="J16" t="str">
        <f t="shared" si="1"/>
        <v>P110-D7</v>
      </c>
    </row>
    <row r="17" spans="4:10" x14ac:dyDescent="0.25">
      <c r="D17" s="5"/>
      <c r="E17" s="4"/>
      <c r="G17" t="s">
        <v>16</v>
      </c>
      <c r="H17" t="s">
        <v>15</v>
      </c>
      <c r="I17" t="str">
        <f t="shared" si="0"/>
        <v>P110-PB1</v>
      </c>
      <c r="J17" t="str">
        <f t="shared" si="1"/>
        <v>P110-D8</v>
      </c>
    </row>
    <row r="18" spans="4:10" x14ac:dyDescent="0.25">
      <c r="D18" s="5"/>
      <c r="E18" s="4"/>
      <c r="G18" t="s">
        <v>14</v>
      </c>
      <c r="H18" t="s">
        <v>13</v>
      </c>
      <c r="I18" t="str">
        <f t="shared" si="0"/>
        <v>P110-PB2</v>
      </c>
      <c r="J18" t="str">
        <f t="shared" si="1"/>
        <v>P110-SV1</v>
      </c>
    </row>
    <row r="19" spans="4:10" x14ac:dyDescent="0.25">
      <c r="D19" s="5"/>
      <c r="E19" s="4"/>
      <c r="G19" t="s">
        <v>12</v>
      </c>
      <c r="H19" t="s">
        <v>11</v>
      </c>
      <c r="I19" t="str">
        <f t="shared" si="0"/>
        <v>P110-CB3</v>
      </c>
      <c r="J19" t="str">
        <f t="shared" si="1"/>
        <v>P110-SV2</v>
      </c>
    </row>
    <row r="20" spans="4:10" x14ac:dyDescent="0.25">
      <c r="D20" s="5"/>
      <c r="E20" s="4"/>
      <c r="G20" t="s">
        <v>10</v>
      </c>
      <c r="H20" t="s">
        <v>9</v>
      </c>
      <c r="I20" t="str">
        <f t="shared" si="0"/>
        <v>P110-CB4</v>
      </c>
      <c r="J20" t="str">
        <f t="shared" si="1"/>
        <v>P110-D8-CH-OPEN</v>
      </c>
    </row>
    <row r="21" spans="4:10" x14ac:dyDescent="0.25">
      <c r="D21" s="5"/>
      <c r="E21" s="4"/>
      <c r="G21" t="s">
        <v>8</v>
      </c>
      <c r="H21" t="s">
        <v>7</v>
      </c>
      <c r="I21" t="str">
        <f t="shared" si="0"/>
        <v>P110-D6</v>
      </c>
      <c r="J21" t="str">
        <f t="shared" si="1"/>
        <v>P110-D2-CH-CLOSE</v>
      </c>
    </row>
    <row r="22" spans="4:10" x14ac:dyDescent="0.25">
      <c r="D22" s="5"/>
      <c r="E22" s="4"/>
    </row>
    <row r="23" spans="4:10" x14ac:dyDescent="0.25">
      <c r="D23" s="5"/>
      <c r="E23" s="4"/>
    </row>
    <row r="24" spans="4:10" x14ac:dyDescent="0.25">
      <c r="D24" s="5"/>
      <c r="E24" s="4"/>
    </row>
    <row r="25" spans="4:10" x14ac:dyDescent="0.25">
      <c r="D25" s="5"/>
      <c r="E25" s="4"/>
    </row>
    <row r="26" spans="4:10" x14ac:dyDescent="0.25">
      <c r="D26" s="5"/>
      <c r="E26" s="4"/>
    </row>
    <row r="27" spans="4:10" x14ac:dyDescent="0.25">
      <c r="D27" s="5"/>
      <c r="E27" s="4"/>
    </row>
    <row r="28" spans="4:10" x14ac:dyDescent="0.25">
      <c r="D28" s="5"/>
      <c r="E28" s="4"/>
    </row>
    <row r="29" spans="4:10" x14ac:dyDescent="0.25">
      <c r="D29" s="5"/>
      <c r="E29" s="4"/>
    </row>
    <row r="30" spans="4:10" x14ac:dyDescent="0.25">
      <c r="D30" s="5"/>
      <c r="E30" s="4"/>
    </row>
    <row r="31" spans="4:10" x14ac:dyDescent="0.25">
      <c r="D31" s="5"/>
      <c r="E31" s="4"/>
    </row>
    <row r="32" spans="4:10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>
    <pageSetUpPr fitToPage="1"/>
  </sheetPr>
  <dimension ref="A1:K104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304</v>
      </c>
      <c r="D3" s="5" t="s">
        <v>783</v>
      </c>
      <c r="E3" s="4" t="s">
        <v>784</v>
      </c>
      <c r="G3" s="6"/>
      <c r="H3" s="6"/>
      <c r="I3" s="7" t="s">
        <v>37</v>
      </c>
      <c r="J3" s="6"/>
      <c r="K3" s="6"/>
    </row>
    <row r="4" spans="1:11" x14ac:dyDescent="0.25">
      <c r="D4" s="5" t="s">
        <v>783</v>
      </c>
      <c r="E4" s="4" t="s">
        <v>785</v>
      </c>
      <c r="G4" t="s">
        <v>36</v>
      </c>
      <c r="H4" t="s">
        <v>35</v>
      </c>
      <c r="I4" t="str">
        <f t="shared" ref="I4:I21" si="0">$I$3&amp;"-"&amp;G4</f>
        <v>P110-HPA</v>
      </c>
      <c r="J4" t="str">
        <f t="shared" ref="J4:J21" si="1">$I$3&amp;"-"&amp;H4</f>
        <v>P110-LFMETH</v>
      </c>
    </row>
    <row r="5" spans="1:11" x14ac:dyDescent="0.25">
      <c r="D5" s="5" t="s">
        <v>0</v>
      </c>
      <c r="E5" s="4" t="s">
        <v>36</v>
      </c>
      <c r="G5" t="s">
        <v>34</v>
      </c>
      <c r="H5" t="s">
        <v>33</v>
      </c>
      <c r="I5" t="str">
        <f t="shared" si="0"/>
        <v>P110-HPB</v>
      </c>
      <c r="J5" t="str">
        <f t="shared" si="1"/>
        <v>P110-CISI</v>
      </c>
    </row>
    <row r="6" spans="1:11" x14ac:dyDescent="0.25">
      <c r="D6" s="5" t="s">
        <v>0</v>
      </c>
      <c r="E6" s="4" t="s">
        <v>34</v>
      </c>
      <c r="G6" t="s">
        <v>32</v>
      </c>
      <c r="H6" t="s">
        <v>31</v>
      </c>
      <c r="I6" t="str">
        <f t="shared" si="0"/>
        <v>P110-LPA</v>
      </c>
      <c r="J6" t="str">
        <f t="shared" si="1"/>
        <v>P110-HFMETH</v>
      </c>
    </row>
    <row r="7" spans="1:11" x14ac:dyDescent="0.25">
      <c r="D7" s="5" t="s">
        <v>0</v>
      </c>
      <c r="E7" s="4" t="s">
        <v>32</v>
      </c>
      <c r="G7" t="s">
        <v>30</v>
      </c>
      <c r="H7" t="s">
        <v>29</v>
      </c>
      <c r="I7" t="str">
        <f t="shared" si="0"/>
        <v>P110-LPB</v>
      </c>
      <c r="J7" t="str">
        <f t="shared" si="1"/>
        <v>P110-WAX</v>
      </c>
    </row>
    <row r="8" spans="1:11" x14ac:dyDescent="0.25">
      <c r="D8" s="5" t="s">
        <v>0</v>
      </c>
      <c r="E8" s="4" t="s">
        <v>30</v>
      </c>
      <c r="G8" t="s">
        <v>26</v>
      </c>
      <c r="H8" t="s">
        <v>28</v>
      </c>
      <c r="I8" t="str">
        <f t="shared" si="0"/>
        <v>P110-D1</v>
      </c>
      <c r="J8" t="str">
        <f t="shared" si="1"/>
        <v>P110-THV</v>
      </c>
    </row>
    <row r="9" spans="1:11" x14ac:dyDescent="0.25">
      <c r="D9" s="5" t="s">
        <v>6</v>
      </c>
      <c r="E9" s="4" t="s">
        <v>24</v>
      </c>
      <c r="G9" t="s">
        <v>25</v>
      </c>
      <c r="H9" t="s">
        <v>27</v>
      </c>
      <c r="I9" t="str">
        <f t="shared" si="0"/>
        <v>P110-D2</v>
      </c>
      <c r="J9" t="str">
        <f t="shared" si="1"/>
        <v>P110-PHV</v>
      </c>
    </row>
    <row r="10" spans="1:11" x14ac:dyDescent="0.25">
      <c r="D10" s="5" t="s">
        <v>6</v>
      </c>
      <c r="E10" s="4" t="s">
        <v>22</v>
      </c>
      <c r="G10" t="s">
        <v>23</v>
      </c>
      <c r="H10" t="s">
        <v>26</v>
      </c>
      <c r="I10" t="str">
        <f t="shared" si="0"/>
        <v>P110-D3</v>
      </c>
      <c r="J10" t="str">
        <f t="shared" si="1"/>
        <v>P110-D1</v>
      </c>
    </row>
    <row r="11" spans="1:11" x14ac:dyDescent="0.25">
      <c r="D11" s="5" t="s">
        <v>6</v>
      </c>
      <c r="E11" s="4" t="s">
        <v>20</v>
      </c>
      <c r="G11" t="s">
        <v>21</v>
      </c>
      <c r="H11" t="s">
        <v>25</v>
      </c>
      <c r="I11" t="str">
        <f t="shared" si="0"/>
        <v>P110-D4</v>
      </c>
      <c r="J11" t="str">
        <f t="shared" si="1"/>
        <v>P110-D2</v>
      </c>
    </row>
    <row r="12" spans="1:11" x14ac:dyDescent="0.25">
      <c r="D12" s="5" t="s">
        <v>6</v>
      </c>
      <c r="E12" s="4" t="s">
        <v>19</v>
      </c>
      <c r="G12" t="s">
        <v>24</v>
      </c>
      <c r="H12" t="s">
        <v>23</v>
      </c>
      <c r="I12" t="str">
        <f t="shared" si="0"/>
        <v>P110-PA1</v>
      </c>
      <c r="J12" t="str">
        <f t="shared" si="1"/>
        <v>P110-D3</v>
      </c>
    </row>
    <row r="13" spans="1:11" x14ac:dyDescent="0.25">
      <c r="D13" s="5" t="s">
        <v>6</v>
      </c>
      <c r="E13" s="4" t="s">
        <v>16</v>
      </c>
      <c r="G13" t="s">
        <v>22</v>
      </c>
      <c r="H13" t="s">
        <v>21</v>
      </c>
      <c r="I13" t="str">
        <f t="shared" si="0"/>
        <v>P110-PA2</v>
      </c>
      <c r="J13" t="str">
        <f t="shared" si="1"/>
        <v>P110-D4</v>
      </c>
    </row>
    <row r="14" spans="1:11" x14ac:dyDescent="0.25">
      <c r="D14" s="5" t="s">
        <v>6</v>
      </c>
      <c r="E14" s="4" t="s">
        <v>14</v>
      </c>
      <c r="G14" t="s">
        <v>20</v>
      </c>
      <c r="H14" t="s">
        <v>18</v>
      </c>
      <c r="I14" t="str">
        <f t="shared" si="0"/>
        <v>P110-CA3</v>
      </c>
      <c r="J14" t="str">
        <f t="shared" si="1"/>
        <v>P110-D5</v>
      </c>
    </row>
    <row r="15" spans="1:11" x14ac:dyDescent="0.25">
      <c r="D15" s="5" t="s">
        <v>6</v>
      </c>
      <c r="E15" s="4" t="s">
        <v>12</v>
      </c>
      <c r="G15" t="s">
        <v>19</v>
      </c>
      <c r="H15" t="s">
        <v>8</v>
      </c>
      <c r="I15" t="str">
        <f t="shared" si="0"/>
        <v>P110-CA4</v>
      </c>
      <c r="J15" t="str">
        <f t="shared" si="1"/>
        <v>P110-D6</v>
      </c>
    </row>
    <row r="16" spans="1:11" x14ac:dyDescent="0.25">
      <c r="D16" s="5" t="s">
        <v>6</v>
      </c>
      <c r="E16" s="4" t="s">
        <v>10</v>
      </c>
      <c r="G16" t="s">
        <v>18</v>
      </c>
      <c r="H16" t="s">
        <v>17</v>
      </c>
      <c r="I16" t="str">
        <f t="shared" si="0"/>
        <v>P110-D5</v>
      </c>
      <c r="J16" t="str">
        <f t="shared" si="1"/>
        <v>P110-D7</v>
      </c>
    </row>
    <row r="17" spans="4:10" x14ac:dyDescent="0.25">
      <c r="D17" s="5"/>
      <c r="G17" t="s">
        <v>16</v>
      </c>
      <c r="H17" t="s">
        <v>15</v>
      </c>
      <c r="I17" t="str">
        <f t="shared" si="0"/>
        <v>P110-PB1</v>
      </c>
      <c r="J17" t="str">
        <f t="shared" si="1"/>
        <v>P110-D8</v>
      </c>
    </row>
    <row r="18" spans="4:10" x14ac:dyDescent="0.25">
      <c r="D18" s="5"/>
      <c r="E18" s="4"/>
      <c r="G18" t="s">
        <v>14</v>
      </c>
      <c r="H18" t="s">
        <v>13</v>
      </c>
      <c r="I18" t="str">
        <f t="shared" si="0"/>
        <v>P110-PB2</v>
      </c>
      <c r="J18" t="str">
        <f t="shared" si="1"/>
        <v>P110-SV1</v>
      </c>
    </row>
    <row r="19" spans="4:10" x14ac:dyDescent="0.25">
      <c r="D19" s="5"/>
      <c r="E19" s="4"/>
      <c r="G19" t="s">
        <v>12</v>
      </c>
      <c r="H19" t="s">
        <v>11</v>
      </c>
      <c r="I19" t="str">
        <f t="shared" si="0"/>
        <v>P110-CB3</v>
      </c>
      <c r="J19" t="str">
        <f t="shared" si="1"/>
        <v>P110-SV2</v>
      </c>
    </row>
    <row r="20" spans="4:10" x14ac:dyDescent="0.25">
      <c r="D20" s="5"/>
      <c r="E20" s="4"/>
      <c r="G20" t="s">
        <v>10</v>
      </c>
      <c r="H20" t="s">
        <v>9</v>
      </c>
      <c r="I20" t="str">
        <f t="shared" si="0"/>
        <v>P110-CB4</v>
      </c>
      <c r="J20" t="str">
        <f t="shared" si="1"/>
        <v>P110-D8-CH-OPEN</v>
      </c>
    </row>
    <row r="21" spans="4:10" x14ac:dyDescent="0.25">
      <c r="D21" s="5"/>
      <c r="E21" s="4"/>
      <c r="G21" t="s">
        <v>8</v>
      </c>
      <c r="H21" t="s">
        <v>7</v>
      </c>
      <c r="I21" t="str">
        <f t="shared" si="0"/>
        <v>P110-D6</v>
      </c>
      <c r="J21" t="str">
        <f t="shared" si="1"/>
        <v>P110-D2-CH-CLOSE</v>
      </c>
    </row>
    <row r="22" spans="4:10" x14ac:dyDescent="0.25">
      <c r="D22" s="5"/>
      <c r="E22" s="4"/>
    </row>
    <row r="23" spans="4:10" x14ac:dyDescent="0.25">
      <c r="D23" s="5"/>
      <c r="E23" s="4"/>
    </row>
    <row r="24" spans="4:10" x14ac:dyDescent="0.25">
      <c r="D24" s="5"/>
      <c r="E24" s="4"/>
    </row>
    <row r="25" spans="4:10" x14ac:dyDescent="0.25">
      <c r="D25" s="5"/>
      <c r="E25" s="4"/>
    </row>
    <row r="26" spans="4:10" x14ac:dyDescent="0.25">
      <c r="D26" s="5"/>
      <c r="E26" s="4"/>
    </row>
    <row r="27" spans="4:10" x14ac:dyDescent="0.25">
      <c r="D27" s="5"/>
      <c r="E27" s="4"/>
    </row>
    <row r="28" spans="4:10" x14ac:dyDescent="0.25">
      <c r="D28" s="5"/>
      <c r="E28" s="4"/>
    </row>
    <row r="29" spans="4:10" x14ac:dyDescent="0.25">
      <c r="D29" s="5"/>
      <c r="E29" s="4"/>
    </row>
    <row r="30" spans="4:10" x14ac:dyDescent="0.25">
      <c r="D30" s="5"/>
      <c r="E30" s="4"/>
    </row>
    <row r="31" spans="4:10" x14ac:dyDescent="0.25">
      <c r="D31" s="5"/>
      <c r="E31" s="4"/>
    </row>
    <row r="32" spans="4:10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E56" s="4"/>
    </row>
    <row r="57" spans="4:5" x14ac:dyDescent="0.25">
      <c r="E57" s="4"/>
    </row>
    <row r="58" spans="4:5" x14ac:dyDescent="0.25">
      <c r="E58" s="4"/>
    </row>
    <row r="59" spans="4:5" x14ac:dyDescent="0.25">
      <c r="E59" s="4"/>
    </row>
    <row r="60" spans="4:5" x14ac:dyDescent="0.25">
      <c r="E60" s="4"/>
    </row>
    <row r="61" spans="4:5" x14ac:dyDescent="0.25">
      <c r="E61" s="4"/>
    </row>
    <row r="62" spans="4:5" x14ac:dyDescent="0.25">
      <c r="E62" s="4"/>
    </row>
    <row r="63" spans="4:5" x14ac:dyDescent="0.25">
      <c r="E63" s="4"/>
    </row>
    <row r="64" spans="4:5" x14ac:dyDescent="0.25">
      <c r="E64" s="4"/>
    </row>
    <row r="65" spans="5:5" x14ac:dyDescent="0.25">
      <c r="E65" s="4"/>
    </row>
    <row r="66" spans="5:5" x14ac:dyDescent="0.25">
      <c r="E66" s="4"/>
    </row>
    <row r="67" spans="5:5" x14ac:dyDescent="0.25">
      <c r="E67" s="4"/>
    </row>
    <row r="68" spans="5:5" x14ac:dyDescent="0.25">
      <c r="E68" s="4"/>
    </row>
    <row r="69" spans="5:5" x14ac:dyDescent="0.25">
      <c r="E69" s="4"/>
    </row>
    <row r="70" spans="5:5" x14ac:dyDescent="0.25">
      <c r="E70" s="4"/>
    </row>
    <row r="71" spans="5:5" x14ac:dyDescent="0.25">
      <c r="E71" s="4"/>
    </row>
    <row r="72" spans="5:5" x14ac:dyDescent="0.25">
      <c r="E72" s="4"/>
    </row>
    <row r="73" spans="5:5" x14ac:dyDescent="0.25">
      <c r="E73" s="4"/>
    </row>
    <row r="74" spans="5:5" x14ac:dyDescent="0.25">
      <c r="E74" s="4"/>
    </row>
    <row r="75" spans="5:5" x14ac:dyDescent="0.25">
      <c r="E75" s="4"/>
    </row>
    <row r="76" spans="5:5" x14ac:dyDescent="0.25">
      <c r="E76" s="4"/>
    </row>
    <row r="77" spans="5:5" x14ac:dyDescent="0.25">
      <c r="E77" s="4"/>
    </row>
    <row r="78" spans="5:5" x14ac:dyDescent="0.25">
      <c r="E78" s="4"/>
    </row>
    <row r="79" spans="5:5" x14ac:dyDescent="0.25">
      <c r="E79" s="4"/>
    </row>
    <row r="80" spans="5:5" x14ac:dyDescent="0.25">
      <c r="E80" s="4"/>
    </row>
    <row r="81" spans="5:5" x14ac:dyDescent="0.25">
      <c r="E81" s="4"/>
    </row>
    <row r="82" spans="5:5" x14ac:dyDescent="0.25">
      <c r="E82" s="4"/>
    </row>
    <row r="83" spans="5:5" x14ac:dyDescent="0.25">
      <c r="E83" s="4"/>
    </row>
    <row r="84" spans="5:5" x14ac:dyDescent="0.25">
      <c r="E84" s="4"/>
    </row>
    <row r="85" spans="5:5" x14ac:dyDescent="0.25">
      <c r="E85" s="4"/>
    </row>
    <row r="86" spans="5:5" x14ac:dyDescent="0.25">
      <c r="E86" s="4"/>
    </row>
    <row r="87" spans="5:5" x14ac:dyDescent="0.25">
      <c r="E87" s="4"/>
    </row>
    <row r="88" spans="5:5" x14ac:dyDescent="0.25">
      <c r="E88" s="4"/>
    </row>
    <row r="89" spans="5:5" x14ac:dyDescent="0.25">
      <c r="E89" s="4"/>
    </row>
    <row r="90" spans="5:5" x14ac:dyDescent="0.25">
      <c r="E90" s="4"/>
    </row>
    <row r="91" spans="5:5" x14ac:dyDescent="0.25">
      <c r="E91" s="4"/>
    </row>
    <row r="92" spans="5:5" x14ac:dyDescent="0.25">
      <c r="E92" s="4"/>
    </row>
    <row r="93" spans="5:5" x14ac:dyDescent="0.25">
      <c r="E93" s="4"/>
    </row>
    <row r="94" spans="5:5" x14ac:dyDescent="0.25">
      <c r="E94" s="4"/>
    </row>
    <row r="95" spans="5:5" x14ac:dyDescent="0.25">
      <c r="E95" s="4"/>
    </row>
    <row r="96" spans="5:5" x14ac:dyDescent="0.25">
      <c r="E96" s="4"/>
    </row>
    <row r="97" spans="5:5" x14ac:dyDescent="0.25">
      <c r="E97" s="4"/>
    </row>
    <row r="98" spans="5:5" x14ac:dyDescent="0.25">
      <c r="E98" s="4"/>
    </row>
    <row r="99" spans="5:5" x14ac:dyDescent="0.25">
      <c r="E99" s="4"/>
    </row>
    <row r="100" spans="5:5" x14ac:dyDescent="0.25">
      <c r="E100" s="4"/>
    </row>
    <row r="101" spans="5:5" x14ac:dyDescent="0.25">
      <c r="E101" s="4"/>
    </row>
    <row r="102" spans="5:5" x14ac:dyDescent="0.25">
      <c r="E102" s="4"/>
    </row>
    <row r="103" spans="5:5" x14ac:dyDescent="0.25">
      <c r="E103" s="4"/>
    </row>
    <row r="104" spans="5:5" x14ac:dyDescent="0.25">
      <c r="E104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305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306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307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308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309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310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K105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6" max="16384" width="9.140625" style="15"/>
  </cols>
  <sheetData>
    <row r="1" spans="1:11" x14ac:dyDescent="0.25">
      <c r="A1" s="14" t="s">
        <v>727</v>
      </c>
      <c r="B1" s="9" t="s">
        <v>730</v>
      </c>
      <c r="C1" s="3" t="s">
        <v>731</v>
      </c>
      <c r="D1" s="15"/>
      <c r="E1" s="15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Others (Combined)</v>
      </c>
      <c r="C3" s="2" t="str">
        <f ca="1">MID(CELL("filename",A1),FIND("]",CELL("filename",A1))+1,255)</f>
        <v>311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592</v>
      </c>
    </row>
    <row r="6" spans="1:11" x14ac:dyDescent="0.25">
      <c r="D6" s="2" t="s">
        <v>0</v>
      </c>
      <c r="E6" s="1" t="s">
        <v>591</v>
      </c>
    </row>
    <row r="7" spans="1:11" x14ac:dyDescent="0.25">
      <c r="D7" s="2" t="s">
        <v>0</v>
      </c>
      <c r="E7" s="1" t="s">
        <v>28</v>
      </c>
    </row>
    <row r="8" spans="1:11" x14ac:dyDescent="0.25">
      <c r="D8" s="2" t="s">
        <v>0</v>
      </c>
      <c r="E8" s="1" t="s">
        <v>27</v>
      </c>
    </row>
    <row r="9" spans="1:11" x14ac:dyDescent="0.25">
      <c r="D9" s="2" t="s">
        <v>3</v>
      </c>
      <c r="E9" s="4" t="s">
        <v>589</v>
      </c>
    </row>
    <row r="10" spans="1:11" x14ac:dyDescent="0.25">
      <c r="D10" s="2" t="s">
        <v>3</v>
      </c>
      <c r="E10" s="4" t="s">
        <v>29</v>
      </c>
    </row>
    <row r="11" spans="1:11" x14ac:dyDescent="0.25">
      <c r="D11" s="2" t="s">
        <v>3</v>
      </c>
      <c r="E11" s="1" t="s">
        <v>31</v>
      </c>
    </row>
    <row r="12" spans="1:11" x14ac:dyDescent="0.25">
      <c r="D12" s="2" t="s">
        <v>3</v>
      </c>
      <c r="E12" s="1" t="s">
        <v>35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312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29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33</v>
      </c>
    </row>
    <row r="9" spans="1:11" x14ac:dyDescent="0.25">
      <c r="D9" s="2" t="s">
        <v>0</v>
      </c>
      <c r="E9" s="1" t="s">
        <v>185</v>
      </c>
    </row>
    <row r="10" spans="1:11" x14ac:dyDescent="0.25">
      <c r="D10" s="2" t="s">
        <v>0</v>
      </c>
      <c r="E10" s="1" t="s">
        <v>183</v>
      </c>
    </row>
    <row r="11" spans="1:11" x14ac:dyDescent="0.25">
      <c r="D11" s="2" t="s">
        <v>0</v>
      </c>
      <c r="E11" s="1" t="s">
        <v>27</v>
      </c>
    </row>
    <row r="12" spans="1:11" x14ac:dyDescent="0.25">
      <c r="D12" s="2" t="s">
        <v>0</v>
      </c>
      <c r="E12" s="1" t="s">
        <v>28</v>
      </c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Others (Combined)</v>
      </c>
      <c r="C3" s="2" t="str">
        <f ca="1">MID(CELL("filename",A1),FIND("]",CELL("filename",A1))+1,255)</f>
        <v>314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35</v>
      </c>
    </row>
    <row r="6" spans="1:11" x14ac:dyDescent="0.25">
      <c r="D6" s="2" t="s">
        <v>3</v>
      </c>
      <c r="E6" s="1" t="s">
        <v>264</v>
      </c>
    </row>
    <row r="7" spans="1:11" x14ac:dyDescent="0.25">
      <c r="D7" s="2" t="s">
        <v>3</v>
      </c>
      <c r="E7" s="1" t="s">
        <v>262</v>
      </c>
    </row>
    <row r="8" spans="1:11" x14ac:dyDescent="0.25">
      <c r="D8" s="2" t="s">
        <v>3</v>
      </c>
      <c r="E8" s="1" t="s">
        <v>260</v>
      </c>
    </row>
    <row r="9" spans="1:11" x14ac:dyDescent="0.25">
      <c r="D9" s="2" t="s">
        <v>3</v>
      </c>
      <c r="E9" s="1" t="s">
        <v>258</v>
      </c>
    </row>
    <row r="10" spans="1:11" x14ac:dyDescent="0.25">
      <c r="D10" s="2" t="s">
        <v>3</v>
      </c>
      <c r="E10" s="1" t="s">
        <v>29</v>
      </c>
    </row>
    <row r="11" spans="1:11" x14ac:dyDescent="0.25">
      <c r="D11" s="2" t="s">
        <v>3</v>
      </c>
      <c r="E11" s="1" t="s">
        <v>255</v>
      </c>
    </row>
    <row r="12" spans="1:11" x14ac:dyDescent="0.25">
      <c r="D12" s="2" t="s">
        <v>3</v>
      </c>
      <c r="E12" s="1" t="s">
        <v>33</v>
      </c>
    </row>
    <row r="13" spans="1:11" x14ac:dyDescent="0.25">
      <c r="D13" s="2" t="s">
        <v>3</v>
      </c>
      <c r="E13" s="1" t="s">
        <v>254</v>
      </c>
    </row>
    <row r="14" spans="1:11" x14ac:dyDescent="0.25">
      <c r="D14" s="2" t="s">
        <v>3</v>
      </c>
      <c r="E14" s="1" t="s">
        <v>253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pageSetUpPr fitToPage="1"/>
  </sheetPr>
  <dimension ref="A1:K105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6" max="16384" width="9.140625" style="15"/>
  </cols>
  <sheetData>
    <row r="1" spans="1:11" x14ac:dyDescent="0.25">
      <c r="A1" s="14" t="s">
        <v>727</v>
      </c>
      <c r="B1" s="9" t="s">
        <v>730</v>
      </c>
      <c r="C1" s="3" t="s">
        <v>731</v>
      </c>
      <c r="D1" s="15"/>
      <c r="E1" s="15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315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589</v>
      </c>
    </row>
    <row r="6" spans="1:11" x14ac:dyDescent="0.25">
      <c r="D6" s="2" t="s">
        <v>3</v>
      </c>
      <c r="E6" s="1" t="s">
        <v>35</v>
      </c>
    </row>
    <row r="7" spans="1:11" x14ac:dyDescent="0.25">
      <c r="D7" s="2" t="s">
        <v>3</v>
      </c>
      <c r="E7" s="1" t="s">
        <v>31</v>
      </c>
    </row>
    <row r="8" spans="1:11" x14ac:dyDescent="0.25">
      <c r="D8" s="2" t="s">
        <v>3</v>
      </c>
      <c r="E8" s="1" t="s">
        <v>29</v>
      </c>
    </row>
    <row r="9" spans="1:11" x14ac:dyDescent="0.25">
      <c r="D9" s="2" t="s">
        <v>0</v>
      </c>
      <c r="E9" s="1" t="s">
        <v>27</v>
      </c>
    </row>
    <row r="10" spans="1:11" x14ac:dyDescent="0.25">
      <c r="D10" s="2" t="s">
        <v>0</v>
      </c>
      <c r="E10" s="1" t="s">
        <v>28</v>
      </c>
    </row>
    <row r="11" spans="1:11" x14ac:dyDescent="0.25">
      <c r="D11" s="5"/>
      <c r="E11" s="4"/>
    </row>
    <row r="12" spans="1:11" x14ac:dyDescent="0.25">
      <c r="D12" s="5"/>
      <c r="E12" s="4"/>
    </row>
    <row r="13" spans="1:11" x14ac:dyDescent="0.25">
      <c r="D13" s="5"/>
      <c r="E13" s="4"/>
    </row>
    <row r="14" spans="1:11" x14ac:dyDescent="0.25">
      <c r="D14" s="5"/>
      <c r="E14" s="4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Others (Combined)</v>
      </c>
      <c r="C3" s="2" t="str">
        <f ca="1">MID(CELL("filename",A1),FIND("]",CELL("filename",A1))+1,255)</f>
        <v>317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318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K109"/>
  <sheetViews>
    <sheetView zoomScale="85" zoomScaleNormal="85"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6" max="16384" width="9.140625" style="15"/>
  </cols>
  <sheetData>
    <row r="1" spans="1:11" x14ac:dyDescent="0.25">
      <c r="A1" s="14" t="s">
        <v>727</v>
      </c>
      <c r="B1" s="9" t="s">
        <v>730</v>
      </c>
      <c r="C1" s="3" t="s">
        <v>731</v>
      </c>
      <c r="D1" s="15"/>
      <c r="E1" s="15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319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36</v>
      </c>
    </row>
    <row r="6" spans="1:11" x14ac:dyDescent="0.25">
      <c r="D6" s="2" t="s">
        <v>0</v>
      </c>
      <c r="E6" s="1" t="s">
        <v>34</v>
      </c>
    </row>
    <row r="7" spans="1:11" x14ac:dyDescent="0.25">
      <c r="D7" s="2" t="s">
        <v>0</v>
      </c>
      <c r="E7" s="1" t="s">
        <v>32</v>
      </c>
    </row>
    <row r="8" spans="1:11" x14ac:dyDescent="0.25">
      <c r="D8" s="2" t="s">
        <v>0</v>
      </c>
      <c r="E8" s="1" t="s">
        <v>30</v>
      </c>
    </row>
    <row r="9" spans="1:11" x14ac:dyDescent="0.25">
      <c r="D9" s="2" t="s">
        <v>6</v>
      </c>
      <c r="E9" s="1" t="s">
        <v>456</v>
      </c>
    </row>
    <row r="10" spans="1:11" x14ac:dyDescent="0.25">
      <c r="C10" s="12"/>
      <c r="D10" s="2" t="s">
        <v>6</v>
      </c>
      <c r="E10" s="1" t="s">
        <v>455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320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321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322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325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327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fitToPage="1"/>
  </sheetPr>
  <dimension ref="A1:K109"/>
  <sheetViews>
    <sheetView zoomScale="85" zoomScaleNormal="85"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6" max="16384" width="9.140625" style="15"/>
  </cols>
  <sheetData>
    <row r="1" spans="1:11" x14ac:dyDescent="0.25">
      <c r="A1" s="14" t="s">
        <v>727</v>
      </c>
      <c r="B1" s="9" t="s">
        <v>730</v>
      </c>
      <c r="C1" s="3" t="s">
        <v>731</v>
      </c>
      <c r="D1" s="15"/>
      <c r="E1" s="15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328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36</v>
      </c>
    </row>
    <row r="6" spans="1:11" x14ac:dyDescent="0.25">
      <c r="D6" s="2" t="s">
        <v>0</v>
      </c>
      <c r="E6" s="1" t="s">
        <v>34</v>
      </c>
    </row>
    <row r="7" spans="1:11" x14ac:dyDescent="0.25">
      <c r="D7" s="2" t="s">
        <v>0</v>
      </c>
      <c r="E7" s="1" t="s">
        <v>32</v>
      </c>
    </row>
    <row r="8" spans="1:11" x14ac:dyDescent="0.25">
      <c r="D8" s="2" t="s">
        <v>0</v>
      </c>
      <c r="E8" s="1" t="s">
        <v>30</v>
      </c>
    </row>
    <row r="9" spans="1:11" x14ac:dyDescent="0.25">
      <c r="D9" s="2" t="s">
        <v>6</v>
      </c>
      <c r="E9" s="1" t="s">
        <v>456</v>
      </c>
    </row>
    <row r="10" spans="1:11" x14ac:dyDescent="0.25">
      <c r="C10" s="12"/>
      <c r="D10" s="2" t="s">
        <v>6</v>
      </c>
      <c r="E10" s="1" t="s">
        <v>455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330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Others (Combined)</v>
      </c>
      <c r="C3" s="2" t="str">
        <f ca="1">MID(CELL("filename",A1),FIND("]",CELL("filename",A1))+1,255)</f>
        <v>331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518</v>
      </c>
    </row>
    <row r="6" spans="1:11" x14ac:dyDescent="0.25">
      <c r="D6" s="2" t="s">
        <v>0</v>
      </c>
      <c r="E6" s="1" t="s">
        <v>488</v>
      </c>
    </row>
    <row r="7" spans="1:11" x14ac:dyDescent="0.25">
      <c r="D7" s="2" t="s">
        <v>0</v>
      </c>
      <c r="E7" s="1" t="s">
        <v>487</v>
      </c>
    </row>
    <row r="8" spans="1:11" x14ac:dyDescent="0.25">
      <c r="D8" s="2" t="s">
        <v>0</v>
      </c>
      <c r="E8" s="1" t="s">
        <v>486</v>
      </c>
    </row>
    <row r="9" spans="1:11" x14ac:dyDescent="0.25">
      <c r="D9" s="2" t="s">
        <v>0</v>
      </c>
      <c r="E9" s="1" t="s">
        <v>485</v>
      </c>
    </row>
    <row r="10" spans="1:11" x14ac:dyDescent="0.25">
      <c r="C10" s="12"/>
      <c r="D10" s="2" t="s">
        <v>6</v>
      </c>
      <c r="E10" s="1" t="s">
        <v>454</v>
      </c>
    </row>
    <row r="11" spans="1:11" x14ac:dyDescent="0.25">
      <c r="D11" s="2" t="s">
        <v>6</v>
      </c>
      <c r="E11" s="1" t="s">
        <v>453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332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518</v>
      </c>
    </row>
    <row r="6" spans="1:11" x14ac:dyDescent="0.25">
      <c r="D6" s="2" t="s">
        <v>0</v>
      </c>
      <c r="E6" s="1" t="s">
        <v>488</v>
      </c>
    </row>
    <row r="7" spans="1:11" x14ac:dyDescent="0.25">
      <c r="D7" s="2" t="s">
        <v>0</v>
      </c>
      <c r="E7" s="1" t="s">
        <v>487</v>
      </c>
    </row>
    <row r="8" spans="1:11" x14ac:dyDescent="0.25">
      <c r="D8" s="2" t="s">
        <v>0</v>
      </c>
      <c r="E8" s="1" t="s">
        <v>486</v>
      </c>
    </row>
    <row r="9" spans="1:11" x14ac:dyDescent="0.25">
      <c r="D9" s="2" t="s">
        <v>0</v>
      </c>
      <c r="E9" s="1" t="s">
        <v>485</v>
      </c>
    </row>
    <row r="10" spans="1:11" x14ac:dyDescent="0.25">
      <c r="C10" s="12"/>
      <c r="D10" s="2" t="s">
        <v>6</v>
      </c>
      <c r="E10" s="1" t="s">
        <v>454</v>
      </c>
    </row>
    <row r="11" spans="1:11" x14ac:dyDescent="0.25">
      <c r="D11" s="2" t="s">
        <v>6</v>
      </c>
      <c r="E11" s="1" t="s">
        <v>453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333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518</v>
      </c>
    </row>
    <row r="6" spans="1:11" x14ac:dyDescent="0.25">
      <c r="D6" s="2" t="s">
        <v>0</v>
      </c>
      <c r="E6" s="1" t="s">
        <v>488</v>
      </c>
    </row>
    <row r="7" spans="1:11" x14ac:dyDescent="0.25">
      <c r="D7" s="2" t="s">
        <v>0</v>
      </c>
      <c r="E7" s="1" t="s">
        <v>487</v>
      </c>
    </row>
    <row r="8" spans="1:11" x14ac:dyDescent="0.25">
      <c r="D8" s="2" t="s">
        <v>0</v>
      </c>
      <c r="E8" s="1" t="s">
        <v>486</v>
      </c>
    </row>
    <row r="9" spans="1:11" x14ac:dyDescent="0.25">
      <c r="D9" s="2" t="s">
        <v>0</v>
      </c>
      <c r="E9" s="1" t="s">
        <v>485</v>
      </c>
    </row>
    <row r="10" spans="1:11" x14ac:dyDescent="0.25">
      <c r="C10" s="12"/>
      <c r="D10" s="2" t="s">
        <v>6</v>
      </c>
      <c r="E10" s="1" t="s">
        <v>454</v>
      </c>
    </row>
    <row r="11" spans="1:11" x14ac:dyDescent="0.25">
      <c r="D11" s="2" t="s">
        <v>6</v>
      </c>
      <c r="E11" s="1" t="s">
        <v>453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334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Production</v>
      </c>
      <c r="C3" s="2" t="str">
        <f ca="1">MID(CELL("filename",A1),FIND("]",CELL("filename",A1))+1,255)</f>
        <v>335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336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337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34</v>
      </c>
    </row>
    <row r="6" spans="1:11" x14ac:dyDescent="0.25">
      <c r="D6" s="2" t="s">
        <v>0</v>
      </c>
      <c r="E6" s="1" t="s">
        <v>32</v>
      </c>
    </row>
    <row r="7" spans="1:11" x14ac:dyDescent="0.25">
      <c r="D7" s="2" t="s">
        <v>0</v>
      </c>
      <c r="E7" s="1" t="s">
        <v>30</v>
      </c>
    </row>
    <row r="8" spans="1:11" x14ac:dyDescent="0.25">
      <c r="D8" s="2" t="s">
        <v>6</v>
      </c>
      <c r="E8" s="1" t="s">
        <v>456</v>
      </c>
    </row>
    <row r="9" spans="1:11" x14ac:dyDescent="0.25">
      <c r="D9" s="2" t="s">
        <v>6</v>
      </c>
      <c r="E9" s="1" t="s">
        <v>455</v>
      </c>
    </row>
    <row r="10" spans="1:11" x14ac:dyDescent="0.25">
      <c r="C10" s="12"/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338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3</v>
      </c>
      <c r="E5" s="1" t="s">
        <v>35</v>
      </c>
    </row>
    <row r="6" spans="1:11" x14ac:dyDescent="0.25">
      <c r="D6" s="2" t="s">
        <v>3</v>
      </c>
      <c r="E6" s="1" t="s">
        <v>264</v>
      </c>
    </row>
    <row r="7" spans="1:11" x14ac:dyDescent="0.25">
      <c r="D7" s="2" t="s">
        <v>3</v>
      </c>
      <c r="E7" s="1" t="s">
        <v>254</v>
      </c>
    </row>
    <row r="8" spans="1:11" x14ac:dyDescent="0.25">
      <c r="D8" s="2" t="s">
        <v>3</v>
      </c>
      <c r="E8" s="1" t="s">
        <v>262</v>
      </c>
    </row>
    <row r="9" spans="1:11" x14ac:dyDescent="0.25">
      <c r="D9" s="2" t="s">
        <v>3</v>
      </c>
      <c r="E9" s="1" t="s">
        <v>260</v>
      </c>
    </row>
    <row r="10" spans="1:11" x14ac:dyDescent="0.25">
      <c r="C10" s="12"/>
      <c r="D10" s="2" t="s">
        <v>3</v>
      </c>
      <c r="E10" s="1" t="s">
        <v>29</v>
      </c>
    </row>
    <row r="11" spans="1:11" x14ac:dyDescent="0.25">
      <c r="D11" s="2" t="s">
        <v>3</v>
      </c>
      <c r="E11" s="1" t="s">
        <v>255</v>
      </c>
    </row>
    <row r="12" spans="1:11" x14ac:dyDescent="0.25">
      <c r="D12" s="2" t="s">
        <v>3</v>
      </c>
      <c r="E12" s="1" t="s">
        <v>33</v>
      </c>
    </row>
    <row r="13" spans="1:11" x14ac:dyDescent="0.25">
      <c r="D13" s="2" t="s">
        <v>3</v>
      </c>
      <c r="E13" s="1" t="s">
        <v>258</v>
      </c>
    </row>
    <row r="14" spans="1:11" x14ac:dyDescent="0.25">
      <c r="D14" s="2" t="s">
        <v>3</v>
      </c>
      <c r="E14" s="1" t="s">
        <v>253</v>
      </c>
    </row>
    <row r="15" spans="1:11" x14ac:dyDescent="0.25">
      <c r="D15" s="5" t="s">
        <v>0</v>
      </c>
      <c r="E15" s="4" t="s">
        <v>36</v>
      </c>
    </row>
    <row r="16" spans="1:11" x14ac:dyDescent="0.25">
      <c r="D16" s="5" t="s">
        <v>0</v>
      </c>
      <c r="E16" s="4" t="s">
        <v>34</v>
      </c>
    </row>
    <row r="17" spans="4:5" x14ac:dyDescent="0.25">
      <c r="D17" s="5" t="s">
        <v>0</v>
      </c>
      <c r="E17" s="4" t="s">
        <v>32</v>
      </c>
    </row>
    <row r="18" spans="4:5" x14ac:dyDescent="0.25">
      <c r="D18" s="5" t="s">
        <v>0</v>
      </c>
      <c r="E18" s="4" t="s">
        <v>30</v>
      </c>
    </row>
    <row r="19" spans="4:5" x14ac:dyDescent="0.25">
      <c r="D19" s="5" t="s">
        <v>6</v>
      </c>
      <c r="E19" s="4" t="s">
        <v>462</v>
      </c>
    </row>
    <row r="20" spans="4:5" x14ac:dyDescent="0.25">
      <c r="D20" s="5" t="s">
        <v>6</v>
      </c>
      <c r="E20" s="4" t="s">
        <v>460</v>
      </c>
    </row>
    <row r="21" spans="4:5" x14ac:dyDescent="0.25">
      <c r="D21" s="5" t="s">
        <v>6</v>
      </c>
      <c r="E21" s="4" t="s">
        <v>458</v>
      </c>
    </row>
    <row r="22" spans="4:5" x14ac:dyDescent="0.25">
      <c r="D22" s="5" t="s">
        <v>6</v>
      </c>
      <c r="E22" s="4" t="s">
        <v>457</v>
      </c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K109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6" max="16384" width="9.140625" style="15"/>
  </cols>
  <sheetData>
    <row r="1" spans="1:11" x14ac:dyDescent="0.25">
      <c r="A1" s="14" t="s">
        <v>727</v>
      </c>
      <c r="B1" s="9" t="s">
        <v>730</v>
      </c>
      <c r="C1" s="3" t="s">
        <v>731</v>
      </c>
      <c r="D1" s="15"/>
      <c r="E1" s="15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339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5" t="s">
        <v>6</v>
      </c>
      <c r="E5" s="1" t="s">
        <v>627</v>
      </c>
    </row>
    <row r="6" spans="1:11" x14ac:dyDescent="0.25">
      <c r="D6" s="5" t="s">
        <v>6</v>
      </c>
      <c r="E6" s="1" t="s">
        <v>732</v>
      </c>
    </row>
    <row r="7" spans="1:11" x14ac:dyDescent="0.25">
      <c r="D7" s="5" t="s">
        <v>0</v>
      </c>
      <c r="E7" s="1" t="s">
        <v>485</v>
      </c>
    </row>
    <row r="8" spans="1:11" x14ac:dyDescent="0.25">
      <c r="D8" s="5" t="s">
        <v>0</v>
      </c>
      <c r="E8" s="1" t="s">
        <v>633</v>
      </c>
    </row>
    <row r="9" spans="1:11" x14ac:dyDescent="0.25">
      <c r="D9" s="5" t="s">
        <v>0</v>
      </c>
      <c r="E9" s="1" t="s">
        <v>632</v>
      </c>
    </row>
    <row r="10" spans="1:11" x14ac:dyDescent="0.25">
      <c r="C10" s="12"/>
      <c r="D10" s="5" t="s">
        <v>0</v>
      </c>
      <c r="E10" s="1" t="s">
        <v>487</v>
      </c>
    </row>
    <row r="11" spans="1:11" x14ac:dyDescent="0.25">
      <c r="D11" s="5" t="s">
        <v>0</v>
      </c>
      <c r="E11" s="1" t="s">
        <v>486</v>
      </c>
    </row>
    <row r="12" spans="1:11" x14ac:dyDescent="0.25">
      <c r="D12" s="5" t="s">
        <v>0</v>
      </c>
      <c r="E12" s="1" t="s">
        <v>733</v>
      </c>
    </row>
    <row r="13" spans="1:11" x14ac:dyDescent="0.25">
      <c r="D13" s="5" t="s">
        <v>0</v>
      </c>
      <c r="E13" s="1" t="s">
        <v>734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>
    <pageSetUpPr fitToPage="1"/>
  </sheetPr>
  <dimension ref="A1:K103"/>
  <sheetViews>
    <sheetView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</cols>
  <sheetData>
    <row r="1" spans="1:11" s="13" customFormat="1" x14ac:dyDescent="0.25">
      <c r="A1" s="14" t="s">
        <v>727</v>
      </c>
      <c r="B1" s="9" t="s">
        <v>730</v>
      </c>
      <c r="C1" s="3" t="s">
        <v>731</v>
      </c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340</v>
      </c>
      <c r="D3" s="5" t="s">
        <v>783</v>
      </c>
      <c r="E3" s="4" t="s">
        <v>784</v>
      </c>
      <c r="G3" s="6"/>
      <c r="H3" s="6"/>
      <c r="I3" s="7" t="s">
        <v>37</v>
      </c>
      <c r="J3" s="6"/>
      <c r="K3" s="6"/>
    </row>
    <row r="4" spans="1:11" x14ac:dyDescent="0.25">
      <c r="D4" s="5" t="s">
        <v>783</v>
      </c>
      <c r="E4" s="4" t="s">
        <v>785</v>
      </c>
      <c r="G4" t="s">
        <v>36</v>
      </c>
      <c r="H4" t="s">
        <v>35</v>
      </c>
      <c r="I4" t="str">
        <f t="shared" ref="I4:I21" si="0">$I$3&amp;"-"&amp;G4</f>
        <v>P110-HPA</v>
      </c>
      <c r="J4" t="str">
        <f t="shared" ref="J4:J21" si="1">$I$3&amp;"-"&amp;H4</f>
        <v>P110-LFMETH</v>
      </c>
    </row>
    <row r="5" spans="1:11" x14ac:dyDescent="0.25">
      <c r="D5" s="5" t="s">
        <v>0</v>
      </c>
      <c r="E5" s="4" t="s">
        <v>36</v>
      </c>
      <c r="G5" t="s">
        <v>34</v>
      </c>
      <c r="H5" t="s">
        <v>33</v>
      </c>
      <c r="I5" t="str">
        <f t="shared" si="0"/>
        <v>P110-HPB</v>
      </c>
      <c r="J5" t="str">
        <f t="shared" si="1"/>
        <v>P110-CISI</v>
      </c>
    </row>
    <row r="6" spans="1:11" x14ac:dyDescent="0.25">
      <c r="D6" s="5" t="s">
        <v>0</v>
      </c>
      <c r="E6" s="4" t="s">
        <v>34</v>
      </c>
      <c r="G6" t="s">
        <v>32</v>
      </c>
      <c r="H6" t="s">
        <v>31</v>
      </c>
      <c r="I6" t="str">
        <f t="shared" si="0"/>
        <v>P110-LPA</v>
      </c>
      <c r="J6" t="str">
        <f t="shared" si="1"/>
        <v>P110-HFMETH</v>
      </c>
    </row>
    <row r="7" spans="1:11" x14ac:dyDescent="0.25">
      <c r="D7" s="5" t="s">
        <v>0</v>
      </c>
      <c r="E7" s="4" t="s">
        <v>32</v>
      </c>
      <c r="G7" t="s">
        <v>30</v>
      </c>
      <c r="H7" t="s">
        <v>29</v>
      </c>
      <c r="I7" t="str">
        <f t="shared" si="0"/>
        <v>P110-LPB</v>
      </c>
      <c r="J7" t="str">
        <f t="shared" si="1"/>
        <v>P110-WAX</v>
      </c>
    </row>
    <row r="8" spans="1:11" x14ac:dyDescent="0.25">
      <c r="D8" s="5" t="s">
        <v>0</v>
      </c>
      <c r="E8" s="4" t="s">
        <v>30</v>
      </c>
      <c r="G8" t="s">
        <v>26</v>
      </c>
      <c r="H8" t="s">
        <v>28</v>
      </c>
      <c r="I8" t="str">
        <f t="shared" si="0"/>
        <v>P110-D1</v>
      </c>
      <c r="J8" t="str">
        <f t="shared" si="1"/>
        <v>P110-THV</v>
      </c>
    </row>
    <row r="9" spans="1:11" x14ac:dyDescent="0.25">
      <c r="D9" s="5" t="s">
        <v>6</v>
      </c>
      <c r="E9" s="4" t="s">
        <v>24</v>
      </c>
      <c r="G9" t="s">
        <v>25</v>
      </c>
      <c r="H9" t="s">
        <v>27</v>
      </c>
      <c r="I9" t="str">
        <f t="shared" si="0"/>
        <v>P110-D2</v>
      </c>
      <c r="J9" t="str">
        <f t="shared" si="1"/>
        <v>P110-PHV</v>
      </c>
    </row>
    <row r="10" spans="1:11" x14ac:dyDescent="0.25">
      <c r="D10" s="5" t="s">
        <v>6</v>
      </c>
      <c r="E10" s="4" t="s">
        <v>22</v>
      </c>
      <c r="G10" t="s">
        <v>23</v>
      </c>
      <c r="H10" t="s">
        <v>26</v>
      </c>
      <c r="I10" t="str">
        <f t="shared" si="0"/>
        <v>P110-D3</v>
      </c>
      <c r="J10" t="str">
        <f t="shared" si="1"/>
        <v>P110-D1</v>
      </c>
    </row>
    <row r="11" spans="1:11" x14ac:dyDescent="0.25">
      <c r="D11" s="5" t="s">
        <v>6</v>
      </c>
      <c r="E11" s="4" t="s">
        <v>20</v>
      </c>
      <c r="G11" t="s">
        <v>21</v>
      </c>
      <c r="H11" t="s">
        <v>25</v>
      </c>
      <c r="I11" t="str">
        <f t="shared" si="0"/>
        <v>P110-D4</v>
      </c>
      <c r="J11" t="str">
        <f t="shared" si="1"/>
        <v>P110-D2</v>
      </c>
    </row>
    <row r="12" spans="1:11" x14ac:dyDescent="0.25">
      <c r="D12" s="5" t="s">
        <v>6</v>
      </c>
      <c r="E12" s="4" t="s">
        <v>19</v>
      </c>
      <c r="G12" t="s">
        <v>24</v>
      </c>
      <c r="H12" t="s">
        <v>23</v>
      </c>
      <c r="I12" t="str">
        <f t="shared" si="0"/>
        <v>P110-PA1</v>
      </c>
      <c r="J12" t="str">
        <f t="shared" si="1"/>
        <v>P110-D3</v>
      </c>
    </row>
    <row r="13" spans="1:11" x14ac:dyDescent="0.25">
      <c r="D13" s="5" t="s">
        <v>6</v>
      </c>
      <c r="E13" s="4" t="s">
        <v>16</v>
      </c>
      <c r="G13" t="s">
        <v>22</v>
      </c>
      <c r="H13" t="s">
        <v>21</v>
      </c>
      <c r="I13" t="str">
        <f t="shared" si="0"/>
        <v>P110-PA2</v>
      </c>
      <c r="J13" t="str">
        <f t="shared" si="1"/>
        <v>P110-D4</v>
      </c>
    </row>
    <row r="14" spans="1:11" x14ac:dyDescent="0.25">
      <c r="D14" s="5" t="s">
        <v>6</v>
      </c>
      <c r="E14" s="4" t="s">
        <v>14</v>
      </c>
      <c r="G14" t="s">
        <v>20</v>
      </c>
      <c r="H14" t="s">
        <v>18</v>
      </c>
      <c r="I14" t="str">
        <f t="shared" si="0"/>
        <v>P110-CA3</v>
      </c>
      <c r="J14" t="str">
        <f t="shared" si="1"/>
        <v>P110-D5</v>
      </c>
    </row>
    <row r="15" spans="1:11" x14ac:dyDescent="0.25">
      <c r="D15" s="5" t="s">
        <v>6</v>
      </c>
      <c r="E15" s="4" t="s">
        <v>12</v>
      </c>
      <c r="G15" t="s">
        <v>19</v>
      </c>
      <c r="H15" t="s">
        <v>8</v>
      </c>
      <c r="I15" t="str">
        <f t="shared" si="0"/>
        <v>P110-CA4</v>
      </c>
      <c r="J15" t="str">
        <f t="shared" si="1"/>
        <v>P110-D6</v>
      </c>
    </row>
    <row r="16" spans="1:11" x14ac:dyDescent="0.25">
      <c r="D16" s="5" t="s">
        <v>6</v>
      </c>
      <c r="E16" s="4" t="s">
        <v>10</v>
      </c>
      <c r="G16" t="s">
        <v>18</v>
      </c>
      <c r="H16" t="s">
        <v>17</v>
      </c>
      <c r="I16" t="str">
        <f t="shared" si="0"/>
        <v>P110-D5</v>
      </c>
      <c r="J16" t="str">
        <f t="shared" si="1"/>
        <v>P110-D7</v>
      </c>
    </row>
    <row r="17" spans="4:10" x14ac:dyDescent="0.25">
      <c r="D17" s="5"/>
      <c r="E17" s="4"/>
      <c r="G17" t="s">
        <v>16</v>
      </c>
      <c r="H17" t="s">
        <v>15</v>
      </c>
      <c r="I17" t="str">
        <f t="shared" si="0"/>
        <v>P110-PB1</v>
      </c>
      <c r="J17" t="str">
        <f t="shared" si="1"/>
        <v>P110-D8</v>
      </c>
    </row>
    <row r="18" spans="4:10" x14ac:dyDescent="0.25">
      <c r="D18" s="5"/>
      <c r="E18" s="4"/>
      <c r="G18" t="s">
        <v>14</v>
      </c>
      <c r="H18" t="s">
        <v>13</v>
      </c>
      <c r="I18" t="str">
        <f t="shared" si="0"/>
        <v>P110-PB2</v>
      </c>
      <c r="J18" t="str">
        <f t="shared" si="1"/>
        <v>P110-SV1</v>
      </c>
    </row>
    <row r="19" spans="4:10" x14ac:dyDescent="0.25">
      <c r="D19" s="5"/>
      <c r="E19" s="4"/>
      <c r="G19" t="s">
        <v>12</v>
      </c>
      <c r="H19" t="s">
        <v>11</v>
      </c>
      <c r="I19" t="str">
        <f t="shared" si="0"/>
        <v>P110-CB3</v>
      </c>
      <c r="J19" t="str">
        <f t="shared" si="1"/>
        <v>P110-SV2</v>
      </c>
    </row>
    <row r="20" spans="4:10" x14ac:dyDescent="0.25">
      <c r="D20" s="5"/>
      <c r="E20" s="4"/>
      <c r="G20" t="s">
        <v>10</v>
      </c>
      <c r="H20" t="s">
        <v>9</v>
      </c>
      <c r="I20" t="str">
        <f t="shared" si="0"/>
        <v>P110-CB4</v>
      </c>
      <c r="J20" t="str">
        <f t="shared" si="1"/>
        <v>P110-D8-CH-OPEN</v>
      </c>
    </row>
    <row r="21" spans="4:10" x14ac:dyDescent="0.25">
      <c r="D21" s="5"/>
      <c r="E21" s="4"/>
      <c r="G21" t="s">
        <v>8</v>
      </c>
      <c r="H21" t="s">
        <v>7</v>
      </c>
      <c r="I21" t="str">
        <f t="shared" si="0"/>
        <v>P110-D6</v>
      </c>
      <c r="J21" t="str">
        <f t="shared" si="1"/>
        <v>P110-D2-CH-CLOSE</v>
      </c>
    </row>
    <row r="22" spans="4:10" x14ac:dyDescent="0.25">
      <c r="D22" s="5"/>
      <c r="E22" s="4"/>
    </row>
    <row r="23" spans="4:10" x14ac:dyDescent="0.25">
      <c r="D23" s="5"/>
      <c r="E23" s="4"/>
    </row>
    <row r="24" spans="4:10" x14ac:dyDescent="0.25">
      <c r="D24" s="5"/>
      <c r="E24" s="4"/>
    </row>
    <row r="25" spans="4:10" x14ac:dyDescent="0.25">
      <c r="D25" s="5"/>
      <c r="E25" s="4"/>
    </row>
    <row r="26" spans="4:10" x14ac:dyDescent="0.25">
      <c r="D26" s="5"/>
      <c r="E26" s="4"/>
    </row>
    <row r="27" spans="4:10" x14ac:dyDescent="0.25">
      <c r="D27" s="5"/>
      <c r="E27" s="4"/>
    </row>
    <row r="28" spans="4:10" x14ac:dyDescent="0.25">
      <c r="D28" s="5"/>
      <c r="E28" s="4"/>
    </row>
    <row r="29" spans="4:10" x14ac:dyDescent="0.25">
      <c r="D29" s="5"/>
      <c r="E29" s="4"/>
    </row>
    <row r="30" spans="4:10" x14ac:dyDescent="0.25">
      <c r="D30" s="5"/>
      <c r="E30" s="4"/>
    </row>
    <row r="31" spans="4:10" x14ac:dyDescent="0.25">
      <c r="D31" s="5"/>
      <c r="E31" s="4"/>
    </row>
    <row r="32" spans="4:10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K109"/>
  <sheetViews>
    <sheetView zoomScale="85" zoomScaleNormal="85" workbookViewId="0">
      <selection activeCell="E5" sqref="E5"/>
    </sheetView>
  </sheetViews>
  <sheetFormatPr defaultRowHeight="15" x14ac:dyDescent="0.25"/>
  <cols>
    <col min="1" max="1" width="33.5703125" style="3" bestFit="1" customWidth="1"/>
    <col min="2" max="2" width="18.28515625" style="3" bestFit="1" customWidth="1"/>
    <col min="3" max="3" width="23.28515625" style="3" bestFit="1" customWidth="1"/>
    <col min="4" max="4" width="27.28515625" style="2" bestFit="1" customWidth="1"/>
    <col min="5" max="5" width="30" style="1" bestFit="1" customWidth="1"/>
    <col min="6" max="16384" width="9.140625" style="15"/>
  </cols>
  <sheetData>
    <row r="1" spans="1:11" x14ac:dyDescent="0.25">
      <c r="A1" s="14" t="s">
        <v>727</v>
      </c>
      <c r="B1" s="9" t="s">
        <v>730</v>
      </c>
      <c r="C1" s="3" t="s">
        <v>731</v>
      </c>
      <c r="D1" s="15"/>
      <c r="E1" s="15"/>
    </row>
    <row r="2" spans="1:11" s="6" customFormat="1" x14ac:dyDescent="0.25">
      <c r="A2" s="8" t="s">
        <v>726</v>
      </c>
      <c r="B2" s="8" t="s">
        <v>42</v>
      </c>
      <c r="C2" s="8" t="s">
        <v>41</v>
      </c>
      <c r="D2" s="8" t="s">
        <v>40</v>
      </c>
      <c r="E2" s="8" t="s">
        <v>39</v>
      </c>
    </row>
    <row r="3" spans="1:11" x14ac:dyDescent="0.25">
      <c r="A3" s="3" t="str">
        <f ca="1">INDEX(INDIRECT("'Foinaven Data.xlsx'!"&amp;$B$1&amp;"[#Data]"),MATCH($C$1&amp;$C$3,INDIRECT("'Foinaven Data.xlsx'!"&amp;$B$1&amp;"[Helper]"),0),MATCH(A2,INDIRECT("'Foinaven Data.xlsx'!"&amp;$B$1&amp;"[#Headers]"),0))</f>
        <v>Static_Jumpers</v>
      </c>
      <c r="B3" s="3" t="str">
        <f ca="1">INDEX(INDIRECT("'Foinaven Data.xlsx'!"&amp;$B$1&amp;"[#Data]"),MATCH($C$1&amp;$C$3,INDIRECT("'Foinaven Data.xlsx'!"&amp;$B$1&amp;"[Helper]"),0),MATCH(B2,INDIRECT("'Foinaven Data.xlsx'!"&amp;$B$1&amp;"[#Headers]"),0))</f>
        <v>Water Injection</v>
      </c>
      <c r="C3" s="2" t="str">
        <f ca="1">MID(CELL("filename",A1),FIND("]",CELL("filename",A1))+1,255)</f>
        <v>342</v>
      </c>
      <c r="D3" s="2" t="s">
        <v>783</v>
      </c>
      <c r="E3" s="1" t="s">
        <v>784</v>
      </c>
      <c r="G3" s="6"/>
      <c r="H3" s="6"/>
      <c r="I3" s="7"/>
      <c r="J3" s="6"/>
      <c r="K3" s="6"/>
    </row>
    <row r="4" spans="1:11" x14ac:dyDescent="0.25">
      <c r="D4" s="2" t="s">
        <v>783</v>
      </c>
      <c r="E4" s="1" t="s">
        <v>785</v>
      </c>
    </row>
    <row r="5" spans="1:11" x14ac:dyDescent="0.25">
      <c r="D5" s="2" t="s">
        <v>0</v>
      </c>
      <c r="E5" s="1" t="s">
        <v>36</v>
      </c>
    </row>
    <row r="6" spans="1:11" x14ac:dyDescent="0.25">
      <c r="D6" s="2" t="s">
        <v>0</v>
      </c>
      <c r="E6" s="1" t="s">
        <v>34</v>
      </c>
    </row>
    <row r="7" spans="1:11" x14ac:dyDescent="0.25">
      <c r="D7" s="2" t="s">
        <v>0</v>
      </c>
      <c r="E7" s="1" t="s">
        <v>32</v>
      </c>
    </row>
    <row r="8" spans="1:11" x14ac:dyDescent="0.25">
      <c r="D8" s="2" t="s">
        <v>0</v>
      </c>
      <c r="E8" s="1" t="s">
        <v>30</v>
      </c>
    </row>
    <row r="9" spans="1:11" x14ac:dyDescent="0.25">
      <c r="D9" s="2" t="s">
        <v>6</v>
      </c>
      <c r="E9" s="1" t="s">
        <v>456</v>
      </c>
    </row>
    <row r="10" spans="1:11" x14ac:dyDescent="0.25">
      <c r="C10" s="12"/>
      <c r="D10" s="2" t="s">
        <v>6</v>
      </c>
      <c r="E10" s="1" t="s">
        <v>455</v>
      </c>
    </row>
    <row r="15" spans="1:11" x14ac:dyDescent="0.25">
      <c r="D15" s="5"/>
      <c r="E15" s="4"/>
    </row>
    <row r="16" spans="1:11" x14ac:dyDescent="0.25">
      <c r="D16" s="5"/>
      <c r="E16" s="4"/>
    </row>
    <row r="17" spans="4:5" x14ac:dyDescent="0.25">
      <c r="D17" s="5"/>
      <c r="E17" s="4"/>
    </row>
    <row r="18" spans="4:5" x14ac:dyDescent="0.25">
      <c r="D18" s="5"/>
      <c r="E18" s="4"/>
    </row>
    <row r="19" spans="4:5" x14ac:dyDescent="0.25">
      <c r="D19" s="5"/>
      <c r="E19" s="4"/>
    </row>
    <row r="20" spans="4:5" x14ac:dyDescent="0.25">
      <c r="D20" s="5"/>
      <c r="E20" s="4"/>
    </row>
    <row r="21" spans="4:5" x14ac:dyDescent="0.25">
      <c r="D21" s="5"/>
      <c r="E21" s="4"/>
    </row>
    <row r="22" spans="4:5" x14ac:dyDescent="0.25">
      <c r="D22" s="5"/>
      <c r="E22" s="4"/>
    </row>
    <row r="23" spans="4:5" x14ac:dyDescent="0.25">
      <c r="D23" s="5"/>
      <c r="E23" s="4"/>
    </row>
    <row r="24" spans="4:5" x14ac:dyDescent="0.25">
      <c r="D24" s="5"/>
      <c r="E24" s="4"/>
    </row>
    <row r="25" spans="4:5" x14ac:dyDescent="0.25">
      <c r="D25" s="5"/>
      <c r="E25" s="4"/>
    </row>
    <row r="26" spans="4:5" x14ac:dyDescent="0.25">
      <c r="D26" s="5"/>
      <c r="E26" s="4"/>
    </row>
    <row r="27" spans="4:5" x14ac:dyDescent="0.25">
      <c r="D27" s="5"/>
      <c r="E27" s="4"/>
    </row>
    <row r="28" spans="4:5" x14ac:dyDescent="0.25">
      <c r="D28" s="5"/>
      <c r="E28" s="4"/>
    </row>
    <row r="29" spans="4:5" x14ac:dyDescent="0.25">
      <c r="D29" s="5"/>
      <c r="E29" s="4"/>
    </row>
    <row r="30" spans="4:5" x14ac:dyDescent="0.25">
      <c r="D30" s="5"/>
      <c r="E30" s="4"/>
    </row>
    <row r="31" spans="4:5" x14ac:dyDescent="0.25">
      <c r="D31" s="5"/>
      <c r="E31" s="4"/>
    </row>
    <row r="32" spans="4:5" x14ac:dyDescent="0.25">
      <c r="D32" s="5"/>
      <c r="E32" s="4"/>
    </row>
    <row r="33" spans="4:5" x14ac:dyDescent="0.25">
      <c r="D33" s="5"/>
      <c r="E33" s="4"/>
    </row>
    <row r="34" spans="4:5" x14ac:dyDescent="0.25">
      <c r="D34" s="5"/>
      <c r="E34" s="4"/>
    </row>
    <row r="35" spans="4:5" x14ac:dyDescent="0.25">
      <c r="D35" s="5"/>
      <c r="E35" s="4"/>
    </row>
    <row r="36" spans="4:5" x14ac:dyDescent="0.25">
      <c r="D36" s="5"/>
      <c r="E36" s="4"/>
    </row>
    <row r="37" spans="4:5" x14ac:dyDescent="0.25">
      <c r="D37" s="5"/>
      <c r="E37" s="4"/>
    </row>
    <row r="38" spans="4:5" x14ac:dyDescent="0.25">
      <c r="D38" s="5"/>
      <c r="E38" s="4"/>
    </row>
    <row r="39" spans="4:5" x14ac:dyDescent="0.25">
      <c r="D39" s="5"/>
      <c r="E39" s="4"/>
    </row>
    <row r="40" spans="4:5" x14ac:dyDescent="0.25">
      <c r="D40" s="5"/>
      <c r="E40" s="4"/>
    </row>
    <row r="41" spans="4:5" x14ac:dyDescent="0.25">
      <c r="D41" s="5"/>
      <c r="E41" s="4"/>
    </row>
    <row r="42" spans="4:5" x14ac:dyDescent="0.25">
      <c r="D42" s="5"/>
      <c r="E42" s="4"/>
    </row>
    <row r="43" spans="4:5" x14ac:dyDescent="0.25">
      <c r="D43" s="5"/>
      <c r="E43" s="4"/>
    </row>
    <row r="44" spans="4:5" x14ac:dyDescent="0.25">
      <c r="D44" s="5"/>
      <c r="E44" s="4"/>
    </row>
    <row r="45" spans="4:5" x14ac:dyDescent="0.25">
      <c r="D45" s="5"/>
      <c r="E45" s="4"/>
    </row>
    <row r="46" spans="4:5" x14ac:dyDescent="0.25">
      <c r="D46" s="5"/>
      <c r="E46" s="4"/>
    </row>
    <row r="47" spans="4:5" x14ac:dyDescent="0.25">
      <c r="D47" s="5"/>
      <c r="E47" s="4"/>
    </row>
    <row r="48" spans="4:5" x14ac:dyDescent="0.25">
      <c r="D48" s="5"/>
      <c r="E48" s="4"/>
    </row>
    <row r="49" spans="4:5" x14ac:dyDescent="0.25">
      <c r="D49" s="5"/>
      <c r="E49" s="4"/>
    </row>
    <row r="50" spans="4:5" x14ac:dyDescent="0.25">
      <c r="D50" s="5"/>
      <c r="E50" s="4"/>
    </row>
    <row r="51" spans="4:5" x14ac:dyDescent="0.25">
      <c r="D51" s="5"/>
      <c r="E51" s="4"/>
    </row>
    <row r="52" spans="4:5" x14ac:dyDescent="0.25">
      <c r="D52" s="5"/>
      <c r="E52" s="4"/>
    </row>
    <row r="53" spans="4:5" x14ac:dyDescent="0.25">
      <c r="D53" s="5"/>
      <c r="E53" s="4"/>
    </row>
    <row r="54" spans="4:5" x14ac:dyDescent="0.25">
      <c r="D54" s="5"/>
      <c r="E54" s="4"/>
    </row>
    <row r="55" spans="4:5" x14ac:dyDescent="0.25">
      <c r="D55" s="5"/>
      <c r="E55" s="4"/>
    </row>
    <row r="56" spans="4:5" x14ac:dyDescent="0.25">
      <c r="D56" s="5"/>
      <c r="E56" s="4"/>
    </row>
    <row r="57" spans="4:5" x14ac:dyDescent="0.25">
      <c r="D57" s="5"/>
      <c r="E57" s="4"/>
    </row>
    <row r="58" spans="4:5" x14ac:dyDescent="0.25">
      <c r="D58" s="5"/>
      <c r="E58" s="4"/>
    </row>
    <row r="59" spans="4:5" x14ac:dyDescent="0.25">
      <c r="D59" s="5"/>
      <c r="E59" s="4"/>
    </row>
    <row r="60" spans="4:5" x14ac:dyDescent="0.25">
      <c r="D60" s="5"/>
      <c r="E60" s="4"/>
    </row>
    <row r="61" spans="4:5" x14ac:dyDescent="0.25">
      <c r="D61" s="5"/>
      <c r="E61" s="4"/>
    </row>
    <row r="62" spans="4:5" x14ac:dyDescent="0.25">
      <c r="D62" s="5"/>
      <c r="E62" s="4"/>
    </row>
    <row r="63" spans="4:5" x14ac:dyDescent="0.25">
      <c r="D63" s="5"/>
      <c r="E63" s="4"/>
    </row>
    <row r="64" spans="4:5" x14ac:dyDescent="0.25">
      <c r="D64" s="5"/>
      <c r="E64" s="4"/>
    </row>
    <row r="65" spans="4:5" x14ac:dyDescent="0.25">
      <c r="D65" s="5"/>
      <c r="E65" s="4"/>
    </row>
    <row r="66" spans="4:5" x14ac:dyDescent="0.25">
      <c r="D66" s="5"/>
      <c r="E66" s="4"/>
    </row>
    <row r="67" spans="4:5" x14ac:dyDescent="0.25">
      <c r="D67" s="5"/>
      <c r="E67" s="4"/>
    </row>
    <row r="68" spans="4:5" x14ac:dyDescent="0.25">
      <c r="D68" s="5"/>
      <c r="E68" s="4"/>
    </row>
    <row r="69" spans="4:5" x14ac:dyDescent="0.25">
      <c r="D69" s="5"/>
      <c r="E69" s="4"/>
    </row>
    <row r="70" spans="4:5" x14ac:dyDescent="0.25">
      <c r="D70" s="5"/>
      <c r="E70" s="4"/>
    </row>
    <row r="71" spans="4:5" x14ac:dyDescent="0.25">
      <c r="D71" s="5"/>
      <c r="E71" s="4"/>
    </row>
    <row r="72" spans="4:5" x14ac:dyDescent="0.25">
      <c r="D72" s="5"/>
      <c r="E72" s="4"/>
    </row>
    <row r="73" spans="4:5" x14ac:dyDescent="0.25">
      <c r="D73" s="5"/>
      <c r="E73" s="4"/>
    </row>
    <row r="74" spans="4:5" x14ac:dyDescent="0.25">
      <c r="D74" s="5"/>
      <c r="E74" s="4"/>
    </row>
    <row r="75" spans="4:5" x14ac:dyDescent="0.25">
      <c r="D75" s="5"/>
      <c r="E75" s="4"/>
    </row>
    <row r="76" spans="4:5" x14ac:dyDescent="0.25">
      <c r="D76" s="5"/>
      <c r="E76" s="4"/>
    </row>
    <row r="77" spans="4:5" x14ac:dyDescent="0.25">
      <c r="D77" s="5"/>
      <c r="E77" s="4"/>
    </row>
    <row r="78" spans="4:5" x14ac:dyDescent="0.25">
      <c r="D78" s="5"/>
      <c r="E78" s="4"/>
    </row>
    <row r="79" spans="4:5" x14ac:dyDescent="0.25">
      <c r="D79" s="5"/>
      <c r="E79" s="4"/>
    </row>
    <row r="80" spans="4:5" x14ac:dyDescent="0.25">
      <c r="D80" s="5"/>
      <c r="E80" s="4"/>
    </row>
    <row r="81" spans="4:5" x14ac:dyDescent="0.25">
      <c r="D81" s="5"/>
      <c r="E81" s="4"/>
    </row>
    <row r="82" spans="4:5" x14ac:dyDescent="0.25">
      <c r="D82" s="5"/>
      <c r="E82" s="4"/>
    </row>
    <row r="83" spans="4:5" x14ac:dyDescent="0.25">
      <c r="D83" s="5"/>
      <c r="E83" s="4"/>
    </row>
    <row r="84" spans="4:5" x14ac:dyDescent="0.25">
      <c r="D84" s="5"/>
      <c r="E84" s="4"/>
    </row>
    <row r="85" spans="4:5" x14ac:dyDescent="0.25">
      <c r="D85" s="5"/>
      <c r="E85" s="4"/>
    </row>
    <row r="86" spans="4:5" x14ac:dyDescent="0.25">
      <c r="D86" s="5"/>
      <c r="E86" s="4"/>
    </row>
    <row r="87" spans="4:5" x14ac:dyDescent="0.25">
      <c r="D87" s="5"/>
      <c r="E87" s="4"/>
    </row>
    <row r="88" spans="4:5" x14ac:dyDescent="0.25">
      <c r="D88" s="5"/>
      <c r="E88" s="4"/>
    </row>
    <row r="89" spans="4:5" x14ac:dyDescent="0.25">
      <c r="D89" s="5"/>
      <c r="E89" s="4"/>
    </row>
    <row r="90" spans="4:5" x14ac:dyDescent="0.25">
      <c r="D90" s="5"/>
      <c r="E90" s="4"/>
    </row>
    <row r="91" spans="4:5" x14ac:dyDescent="0.25">
      <c r="D91" s="5"/>
      <c r="E91" s="4"/>
    </row>
    <row r="92" spans="4:5" x14ac:dyDescent="0.25">
      <c r="D92" s="5"/>
      <c r="E92" s="4"/>
    </row>
    <row r="93" spans="4:5" x14ac:dyDescent="0.25">
      <c r="D93" s="5"/>
      <c r="E93" s="4"/>
    </row>
    <row r="94" spans="4:5" x14ac:dyDescent="0.25">
      <c r="D94" s="5"/>
      <c r="E94" s="4"/>
    </row>
    <row r="95" spans="4:5" x14ac:dyDescent="0.25">
      <c r="D95" s="5"/>
      <c r="E95" s="4"/>
    </row>
    <row r="96" spans="4:5" x14ac:dyDescent="0.25">
      <c r="D96" s="5"/>
      <c r="E96" s="4"/>
    </row>
    <row r="97" spans="4:5" x14ac:dyDescent="0.25">
      <c r="D97" s="5"/>
      <c r="E97" s="4"/>
    </row>
    <row r="98" spans="4:5" x14ac:dyDescent="0.25">
      <c r="D98" s="5"/>
      <c r="E98" s="4"/>
    </row>
    <row r="99" spans="4:5" x14ac:dyDescent="0.25">
      <c r="D99" s="5"/>
      <c r="E99" s="4"/>
    </row>
    <row r="100" spans="4:5" x14ac:dyDescent="0.25">
      <c r="D100" s="5"/>
      <c r="E100" s="4"/>
    </row>
    <row r="101" spans="4:5" x14ac:dyDescent="0.25">
      <c r="D101" s="5"/>
      <c r="E101" s="4"/>
    </row>
    <row r="102" spans="4:5" x14ac:dyDescent="0.25">
      <c r="D102" s="5"/>
      <c r="E102" s="4"/>
    </row>
    <row r="103" spans="4:5" x14ac:dyDescent="0.25">
      <c r="D103" s="5"/>
      <c r="E103" s="4"/>
    </row>
    <row r="104" spans="4:5" x14ac:dyDescent="0.25">
      <c r="D104" s="5"/>
      <c r="E104" s="4"/>
    </row>
    <row r="105" spans="4:5" x14ac:dyDescent="0.25">
      <c r="D105" s="5"/>
      <c r="E105" s="4"/>
    </row>
    <row r="106" spans="4:5" x14ac:dyDescent="0.25">
      <c r="D106" s="5"/>
      <c r="E106" s="4"/>
    </row>
    <row r="107" spans="4:5" x14ac:dyDescent="0.25">
      <c r="D107" s="5"/>
      <c r="E107" s="4"/>
    </row>
    <row r="108" spans="4:5" x14ac:dyDescent="0.25">
      <c r="D108" s="5"/>
      <c r="E108" s="4"/>
    </row>
    <row r="109" spans="4:5" x14ac:dyDescent="0.25">
      <c r="D109" s="5"/>
      <c r="E109" s="4"/>
    </row>
  </sheetData>
  <dataValidations count="1">
    <dataValidation type="list" allowBlank="1" showInputMessage="1" showErrorMessage="1" sqref="D3:D1048576">
      <formula1>INDIRECT("'[Foinaven Data.xlsx]Lists'!"&amp;$A$3&amp;"["&amp;$A$3&amp;"]")</formula1>
    </dataValidation>
  </dataValidations>
  <pageMargins left="0.7" right="0.7" top="0.75" bottom="0.75" header="0.3" footer="0.3"/>
  <pageSetup paperSize="9" scale="66" fitToHeight="0" orientation="portrait" r:id="rId1"/>
  <colBreaks count="1" manualBreakCount="1">
    <brk id="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36</vt:i4>
      </vt:variant>
    </vt:vector>
  </HeadingPairs>
  <TitlesOfParts>
    <vt:vector size="96" baseType="lpstr">
      <vt:lpstr>Assumptions</vt:lpstr>
      <vt:lpstr>M1</vt:lpstr>
      <vt:lpstr>CSA11</vt:lpstr>
      <vt:lpstr>SUT1R</vt:lpstr>
      <vt:lpstr>P11</vt:lpstr>
      <vt:lpstr>P110</vt:lpstr>
      <vt:lpstr>P111</vt:lpstr>
      <vt:lpstr>P12</vt:lpstr>
      <vt:lpstr>P13</vt:lpstr>
      <vt:lpstr>P15</vt:lpstr>
      <vt:lpstr>P16</vt:lpstr>
      <vt:lpstr>P17</vt:lpstr>
      <vt:lpstr>P18</vt:lpstr>
      <vt:lpstr>P19</vt:lpstr>
      <vt:lpstr>WP14</vt:lpstr>
      <vt:lpstr>W11</vt:lpstr>
      <vt:lpstr>W110</vt:lpstr>
      <vt:lpstr>W12A</vt:lpstr>
      <vt:lpstr>W13</vt:lpstr>
      <vt:lpstr>W14</vt:lpstr>
      <vt:lpstr>W15</vt:lpstr>
      <vt:lpstr>W16</vt:lpstr>
      <vt:lpstr>W17</vt:lpstr>
      <vt:lpstr>W18</vt:lpstr>
      <vt:lpstr>W19</vt:lpstr>
      <vt:lpstr>301</vt:lpstr>
      <vt:lpstr>302</vt:lpstr>
      <vt:lpstr>303</vt:lpstr>
      <vt:lpstr>304</vt:lpstr>
      <vt:lpstr>305</vt:lpstr>
      <vt:lpstr>306</vt:lpstr>
      <vt:lpstr>307</vt:lpstr>
      <vt:lpstr>308</vt:lpstr>
      <vt:lpstr>309</vt:lpstr>
      <vt:lpstr>310</vt:lpstr>
      <vt:lpstr>311</vt:lpstr>
      <vt:lpstr>312</vt:lpstr>
      <vt:lpstr>314</vt:lpstr>
      <vt:lpstr>315</vt:lpstr>
      <vt:lpstr>317</vt:lpstr>
      <vt:lpstr>318</vt:lpstr>
      <vt:lpstr>319</vt:lpstr>
      <vt:lpstr>320</vt:lpstr>
      <vt:lpstr>321</vt:lpstr>
      <vt:lpstr>322</vt:lpstr>
      <vt:lpstr>325</vt:lpstr>
      <vt:lpstr>327</vt:lpstr>
      <vt:lpstr>328</vt:lpstr>
      <vt:lpstr>330</vt:lpstr>
      <vt:lpstr>331</vt:lpstr>
      <vt:lpstr>332</vt:lpstr>
      <vt:lpstr>333</vt:lpstr>
      <vt:lpstr>334</vt:lpstr>
      <vt:lpstr>335</vt:lpstr>
      <vt:lpstr>336</vt:lpstr>
      <vt:lpstr>337</vt:lpstr>
      <vt:lpstr>338</vt:lpstr>
      <vt:lpstr>339</vt:lpstr>
      <vt:lpstr>340</vt:lpstr>
      <vt:lpstr>342</vt:lpstr>
      <vt:lpstr>'301'!Print_Area</vt:lpstr>
      <vt:lpstr>'302'!Print_Area</vt:lpstr>
      <vt:lpstr>'303'!Print_Area</vt:lpstr>
      <vt:lpstr>'304'!Print_Area</vt:lpstr>
      <vt:lpstr>'305'!Print_Area</vt:lpstr>
      <vt:lpstr>'306'!Print_Area</vt:lpstr>
      <vt:lpstr>'307'!Print_Area</vt:lpstr>
      <vt:lpstr>'308'!Print_Area</vt:lpstr>
      <vt:lpstr>'309'!Print_Area</vt:lpstr>
      <vt:lpstr>'310'!Print_Area</vt:lpstr>
      <vt:lpstr>'311'!Print_Area</vt:lpstr>
      <vt:lpstr>'312'!Print_Area</vt:lpstr>
      <vt:lpstr>'314'!Print_Area</vt:lpstr>
      <vt:lpstr>'315'!Print_Area</vt:lpstr>
      <vt:lpstr>'317'!Print_Area</vt:lpstr>
      <vt:lpstr>'318'!Print_Area</vt:lpstr>
      <vt:lpstr>'319'!Print_Area</vt:lpstr>
      <vt:lpstr>'320'!Print_Area</vt:lpstr>
      <vt:lpstr>'321'!Print_Area</vt:lpstr>
      <vt:lpstr>'322'!Print_Area</vt:lpstr>
      <vt:lpstr>'325'!Print_Area</vt:lpstr>
      <vt:lpstr>'327'!Print_Area</vt:lpstr>
      <vt:lpstr>'328'!Print_Area</vt:lpstr>
      <vt:lpstr>'330'!Print_Area</vt:lpstr>
      <vt:lpstr>'331'!Print_Area</vt:lpstr>
      <vt:lpstr>'332'!Print_Area</vt:lpstr>
      <vt:lpstr>'333'!Print_Area</vt:lpstr>
      <vt:lpstr>'334'!Print_Area</vt:lpstr>
      <vt:lpstr>'335'!Print_Area</vt:lpstr>
      <vt:lpstr>'336'!Print_Area</vt:lpstr>
      <vt:lpstr>'337'!Print_Area</vt:lpstr>
      <vt:lpstr>'338'!Print_Area</vt:lpstr>
      <vt:lpstr>'339'!Print_Area</vt:lpstr>
      <vt:lpstr>'340'!Print_Area</vt:lpstr>
      <vt:lpstr>'342'!Print_Area</vt:lpstr>
      <vt:lpstr>'CSA11'!Print_Area</vt:lpstr>
    </vt:vector>
  </TitlesOfParts>
  <Company>Wood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RANDERSON, Ben (WG)</dc:creator>
  <cp:lastModifiedBy>GroupIT</cp:lastModifiedBy>
  <dcterms:created xsi:type="dcterms:W3CDTF">2017-10-26T11:50:30Z</dcterms:created>
  <dcterms:modified xsi:type="dcterms:W3CDTF">2017-11-09T10:57:12Z</dcterms:modified>
</cp:coreProperties>
</file>